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OC Log" sheetId="1" state="visible" r:id="rId3"/>
    <sheet name="Pivot Summary" sheetId="2" state="visible" r:id="rId4"/>
    <sheet name="IP Correl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<sst xmlns="http://schemas.openxmlformats.org/spreadsheetml/2006/main" count="538" uniqueCount="282">
  <si>
    <t xml:space="preserve">SOC ANALYST — IOC EVIDENCE TRACKER
William James
Real Lab Artifacts — Home Lab Detection Engineering Portfolio</t>
  </si>
  <si>
    <t xml:space="preserve">#</t>
  </si>
  <si>
    <t xml:space="preserve">DATE</t>
  </si>
  <si>
    <t xml:space="preserve">LAB / PROJECT</t>
  </si>
  <si>
    <t xml:space="preserve">INCIDENT ID</t>
  </si>
  <si>
    <t xml:space="preserve">IOC TYPE</t>
  </si>
  <si>
    <t xml:space="preserve">IOC VALUE / INDICATOR</t>
  </si>
  <si>
    <t xml:space="preserve">SOURCE IP</t>
  </si>
  <si>
    <t xml:space="preserve">DEST IP / TARGET</t>
  </si>
  <si>
    <t xml:space="preserve">PORT</t>
  </si>
  <si>
    <t xml:space="preserve">PROTOCOL</t>
  </si>
  <si>
    <t xml:space="preserve">MITRE TACTIC</t>
  </si>
  <si>
    <t xml:space="preserve">MITRE ID</t>
  </si>
  <si>
    <t xml:space="preserve">TOOL / SIEM</t>
  </si>
  <si>
    <t xml:space="preserve">RULE / SID / EID</t>
  </si>
  <si>
    <t xml:space="preserve">SEVERITY</t>
  </si>
  <si>
    <t xml:space="preserve">STATUS</t>
  </si>
  <si>
    <t xml:space="preserve">FP?</t>
  </si>
  <si>
    <t xml:space="preserve">EVIDENCE / NOTES</t>
  </si>
  <si>
    <t xml:space="preserve">2025-10-01</t>
  </si>
  <si>
    <t xml:space="preserve">Wazuh SSH Brute-Force</t>
  </si>
  <si>
    <t xml:space="preserve">INC-001</t>
  </si>
  <si>
    <t xml:space="preserve">IP Address</t>
  </si>
  <si>
    <t xml:space="preserve">192.168.64.15</t>
  </si>
  <si>
    <t xml:space="preserve">Ubuntu Agent</t>
  </si>
  <si>
    <t xml:space="preserve">22</t>
  </si>
  <si>
    <t xml:space="preserve">SSH</t>
  </si>
  <si>
    <t xml:space="preserve">Credential Access</t>
  </si>
  <si>
    <t xml:space="preserve">T1110</t>
  </si>
  <si>
    <t xml:space="preserve">Wazuh SIEM</t>
  </si>
  <si>
    <t xml:space="preserve">Rule 5760 / 40112</t>
  </si>
  <si>
    <t xml:space="preserve">CRITICAL</t>
  </si>
  <si>
    <t xml:space="preserve">CLOSED</t>
  </si>
  <si>
    <t xml:space="preserve">No</t>
  </si>
  <si>
    <t xml:space="preserve">Kali attacker — 88 failed logins then 8 successes. Wazuh rule 40112 fired Level-12 compromise alert. T1110 Brute Force confirmed.</t>
  </si>
  <si>
    <t xml:space="preserve">Authentication Event</t>
  </si>
  <si>
    <t xml:space="preserve">88 Failed + 8 Successful SSH logins</t>
  </si>
  <si>
    <t xml:space="preserve">10.0.0.12</t>
  </si>
  <si>
    <t xml:space="preserve">T1110.001</t>
  </si>
  <si>
    <t xml:space="preserve">Rule 5760</t>
  </si>
  <si>
    <t xml:space="preserve">Rule 5760 fired on repeated auth failures; escalated to rule 40112 on confirmed compromise. Level-12 alert generated.</t>
  </si>
  <si>
    <t xml:space="preserve">2025-10-14</t>
  </si>
  <si>
    <t xml:space="preserve">Suricata Custom Rules</t>
  </si>
  <si>
    <t xml:space="preserve">INC-002</t>
  </si>
  <si>
    <t xml:space="preserve">Network Scan</t>
  </si>
  <si>
    <t xml:space="preserve">TCP SYN Port Scan</t>
  </si>
  <si>
    <t xml:space="preserve">192.168.64.0/24</t>
  </si>
  <si>
    <t xml:space="preserve">1-65535</t>
  </si>
  <si>
    <t xml:space="preserve">TCP</t>
  </si>
  <si>
    <t xml:space="preserve">Discovery</t>
  </si>
  <si>
    <t xml:space="preserve">T1046</t>
  </si>
  <si>
    <t xml:space="preserve">Suricata IDS</t>
  </si>
  <si>
    <t xml:space="preserve">sid:1000001</t>
  </si>
  <si>
    <t xml:space="preserve">MEDIUM</t>
  </si>
  <si>
    <t xml:space="preserve">Custom Suricata rule sid:1000001 fired on live Kali port scan. Alert confirmed via fast.log and eve.json. T1046 Network Service Discovery.</t>
  </si>
  <si>
    <t xml:space="preserve">Brute Force Attempt</t>
  </si>
  <si>
    <t xml:space="preserve">SSH Brute Force Traffic</t>
  </si>
  <si>
    <t xml:space="preserve">192.168.64.10</t>
  </si>
  <si>
    <t xml:space="preserve">sid:1000002</t>
  </si>
  <si>
    <t xml:space="preserve">HIGH</t>
  </si>
  <si>
    <t xml:space="preserve">Custom rule sid:1000002 triggered on SSH brute-force payload from Kali VM. Both custom rules validated against live attack traffic.</t>
  </si>
  <si>
    <t xml:space="preserve">2025-11-02</t>
  </si>
  <si>
    <t xml:space="preserve">Wireshark PCAP Analysis</t>
  </si>
  <si>
    <t xml:space="preserve">INC-003</t>
  </si>
  <si>
    <t xml:space="preserve">TCP SYN Scan Pattern</t>
  </si>
  <si>
    <t xml:space="preserve">192.168.64.1</t>
  </si>
  <si>
    <t xml:space="preserve">1-1024</t>
  </si>
  <si>
    <t xml:space="preserve">Wireshark</t>
  </si>
  <si>
    <t xml:space="preserve">Display Filter: tcp.flags.syn==1</t>
  </si>
  <si>
    <t xml:space="preserve">PCAP Scenario 1 — TCP SYN port scan identified via Wireshark. Half-open connections with no ACK completion. Nmap stealth scan signature.</t>
  </si>
  <si>
    <t xml:space="preserve">Brute Force</t>
  </si>
  <si>
    <t xml:space="preserve">SSH Login Burst — 200+ attempts</t>
  </si>
  <si>
    <t xml:space="preserve">Display Filter: tcp.port==22</t>
  </si>
  <si>
    <t xml:space="preserve">PCAP Scenario 2 — SSH brute-force traffic pattern. High-frequency TCP SYN to port 22, rapid RST responses on failed auth.</t>
  </si>
  <si>
    <t xml:space="preserve">Credential Exposure</t>
  </si>
  <si>
    <t xml:space="preserve">FTP Credentials in Cleartext</t>
  </si>
  <si>
    <t xml:space="preserve">21</t>
  </si>
  <si>
    <t xml:space="preserve">FTP</t>
  </si>
  <si>
    <t xml:space="preserve">T1552.001</t>
  </si>
  <si>
    <t xml:space="preserve">Display Filter: ftp contains USER</t>
  </si>
  <si>
    <t xml:space="preserve">PCAP Scenario 3 — FTP credentials transmitted in plaintext. Username and password captured via Follow TCP Stream. T1552.001 Credentials in Files.</t>
  </si>
  <si>
    <t xml:space="preserve">DNS Exfiltration</t>
  </si>
  <si>
    <t xml:space="preserve">Encoded data in DNS TXT queries</t>
  </si>
  <si>
    <t xml:space="preserve">8.8.8.8</t>
  </si>
  <si>
    <t xml:space="preserve">53</t>
  </si>
  <si>
    <t xml:space="preserve">DNS</t>
  </si>
  <si>
    <t xml:space="preserve">Exfiltration</t>
  </si>
  <si>
    <t xml:space="preserve">T1048.003</t>
  </si>
  <si>
    <t xml:space="preserve">Display Filter: dns.qry.type==16</t>
  </si>
  <si>
    <t xml:space="preserve">PCAP Scenario 4 — Anomalous DNS TXT record queries. Encoded payload observed in subdomain labels. Consistent with DNS tunnelling / exfiltration pattern.</t>
  </si>
  <si>
    <t xml:space="preserve">2025-11-15</t>
  </si>
  <si>
    <t xml:space="preserve">PowerShell Forensics</t>
  </si>
  <si>
    <t xml:space="preserve">INC-004</t>
  </si>
  <si>
    <t xml:space="preserve">Malicious Script</t>
  </si>
  <si>
    <t xml:space="preserve">Base64-encoded PowerShell payload</t>
  </si>
  <si>
    <t xml:space="preserve">JAMES-VM</t>
  </si>
  <si>
    <t xml:space="preserve">N/A</t>
  </si>
  <si>
    <t xml:space="preserve">Execution</t>
  </si>
  <si>
    <t xml:space="preserve">T1059.001</t>
  </si>
  <si>
    <t xml:space="preserve">Sysmon / Defender</t>
  </si>
  <si>
    <t xml:space="preserve">Sysmon EID 4104</t>
  </si>
  <si>
    <t xml:space="preserve">Sysmon EID 4104 (Script Block Logging) captured obfuscated base64 PowerShell on JAMES-VM. Decoded via [System.Text.Encoding]::Unicode.GetString. T1059.001 confirmed.</t>
  </si>
  <si>
    <t xml:space="preserve">Process Creation</t>
  </si>
  <si>
    <t xml:space="preserve">powershell.exe -EncodedCommand</t>
  </si>
  <si>
    <t xml:space="preserve">Sysmon</t>
  </si>
  <si>
    <t xml:space="preserve">Sysmon EID 1</t>
  </si>
  <si>
    <t xml:space="preserve">Sysmon EID 1 (Process Creation) logged powershell.exe launch with -EncodedCommand flag. Parent process and command line recovered for full kill chain.</t>
  </si>
  <si>
    <t xml:space="preserve">2025-12-01</t>
  </si>
  <si>
    <t xml:space="preserve">soc-ai-era-detection-lab</t>
  </si>
  <si>
    <t xml:space="preserve">INC-005</t>
  </si>
  <si>
    <t xml:space="preserve">185.220.101.34</t>
  </si>
  <si>
    <t xml:space="preserve">AI Orchestration Layer</t>
  </si>
  <si>
    <t xml:space="preserve">443</t>
  </si>
  <si>
    <t xml:space="preserve">HTTPS</t>
  </si>
  <si>
    <t xml:space="preserve">Command &amp; Control</t>
  </si>
  <si>
    <t xml:space="preserve">TA0011</t>
  </si>
  <si>
    <t xml:space="preserve">Splunk / Custom</t>
  </si>
  <si>
    <t xml:space="preserve">Custom Sigma Rule</t>
  </si>
  <si>
    <t xml:space="preserve">ESCALATED</t>
  </si>
  <si>
    <t xml:space="preserve">TOR-affiliated IP. 1,877 records exfiltrated via MCP tool abuse. IOC confirmed across 4-day NHI abuse / prompt injection correlation exercise.</t>
  </si>
  <si>
    <t xml:space="preserve">Exfiltration Event</t>
  </si>
  <si>
    <t xml:space="preserve">1,877 records exfiltrated via MCP</t>
  </si>
  <si>
    <t xml:space="preserve">External</t>
  </si>
  <si>
    <t xml:space="preserve">TA0010</t>
  </si>
  <si>
    <t xml:space="preserve">Custom Detection</t>
  </si>
  <si>
    <t xml:space="preserve">Sigma — MCP Exfil Rule</t>
  </si>
  <si>
    <t xml:space="preserve">MCP tool abuse chain: prompt injection → NHI token hijack → data exfiltration. 1,877 records confirmed exfiltrated to 185.220.101.34 over 4-day window.</t>
  </si>
  <si>
    <t xml:space="preserve">Prompt Injection</t>
  </si>
  <si>
    <t xml:space="preserve">Malicious prompt in MCP tool call</t>
  </si>
  <si>
    <t xml:space="preserve">Internal Agent</t>
  </si>
  <si>
    <t xml:space="preserve">AI Backend</t>
  </si>
  <si>
    <t xml:space="preserve">HTTP</t>
  </si>
  <si>
    <t xml:space="preserve">Initial Access</t>
  </si>
  <si>
    <t xml:space="preserve">T1190</t>
  </si>
  <si>
    <t xml:space="preserve">Custom / LLM Monitor</t>
  </si>
  <si>
    <t xml:space="preserve">Sigma — Prompt Injection</t>
  </si>
  <si>
    <t xml:space="preserve">Prompt injection embedded in tool call payload caused LLM to bypass intended behaviour. Correlated with NHI abuse pattern and downstream exfiltration to 185.220.101.34.</t>
  </si>
  <si>
    <t xml:space="preserve">NHI Abuse</t>
  </si>
  <si>
    <t xml:space="preserve">Non-Human Identity token hijack</t>
  </si>
  <si>
    <t xml:space="preserve">Internal Service</t>
  </si>
  <si>
    <t xml:space="preserve">Privilege Escalation</t>
  </si>
  <si>
    <t xml:space="preserve">TA0004</t>
  </si>
  <si>
    <t xml:space="preserve">Sigma — NHI Abuse Rule</t>
  </si>
  <si>
    <t xml:space="preserve">Service account / NHI token abused post-prompt-injection. Token used to authenticate outbound MCP calls. Full 4-day attack chain documented in lab.</t>
  </si>
  <si>
    <t xml:space="preserve">2025-10-20</t>
  </si>
  <si>
    <t xml:space="preserve">Splunk SIEM Lab</t>
  </si>
  <si>
    <t xml:space="preserve">INC-006</t>
  </si>
  <si>
    <t xml:space="preserve">Multiple failed logins — EventCode 4625</t>
  </si>
  <si>
    <t xml:space="preserve">10.0.0.55</t>
  </si>
  <si>
    <t xml:space="preserve">Windows Host</t>
  </si>
  <si>
    <t xml:space="preserve">Splunk</t>
  </si>
  <si>
    <t xml:space="preserve">EventCode=4625</t>
  </si>
  <si>
    <t xml:space="preserve">Splunk SPL: index=main EventCode=4625 | stats count by src_ip. Spike of 200+ failures in 5 min detected. Correlated with EventCode 4624 on eventual success.</t>
  </si>
  <si>
    <t xml:space="preserve">cmd.exe spawn spike — EventCode 4688</t>
  </si>
  <si>
    <t xml:space="preserve">T1059.003</t>
  </si>
  <si>
    <t xml:space="preserve">EventCode=4688</t>
  </si>
  <si>
    <t xml:space="preserve">cmd.exe process creation spike detected via EventCode 4688. Timechart showed anomalous burst. Part of 4-stage attack chain demo: brute force → breach → WMI exec → persistence.</t>
  </si>
  <si>
    <t xml:space="preserve">Lateral Movement</t>
  </si>
  <si>
    <t xml:space="preserve">WMI remote execution via NetExec</t>
  </si>
  <si>
    <t xml:space="preserve">WMI</t>
  </si>
  <si>
    <t xml:space="preserve">T1021.006</t>
  </si>
  <si>
    <t xml:space="preserve">EventCode=4624 LogonType=3</t>
  </si>
  <si>
    <t xml:space="preserve">WMI remote execution detected post-breach. NetExec used for lateral movement. EventCode 4624 LogonType 3 (network logon) correlated with WMI service calls.</t>
  </si>
  <si>
    <t xml:space="preserve">Persistence</t>
  </si>
  <si>
    <t xml:space="preserve">Service installation — EventCode 7045</t>
  </si>
  <si>
    <t xml:space="preserve">TA0003</t>
  </si>
  <si>
    <t xml:space="preserve">EventCode=7045</t>
  </si>
  <si>
    <t xml:space="preserve">Malicious service installed post-lateral movement. EventCode 7045 (Service Installed) captured in Splunk. Stage 4 of full attack chain demo delivered to Julian.</t>
  </si>
  <si>
    <t xml:space="preserve">2025-11-20</t>
  </si>
  <si>
    <t xml:space="preserve">SigmaHQ Issue #6056</t>
  </si>
  <si>
    <t xml:space="preserve">INC-007</t>
  </si>
  <si>
    <t xml:space="preserve">False Positive</t>
  </si>
  <si>
    <t xml:space="preserve">Legit Azure traffic — T1071.001 FP</t>
  </si>
  <si>
    <t xml:space="preserve">Azure Endpoint</t>
  </si>
  <si>
    <t xml:space="preserve">10.0.0.0/8</t>
  </si>
  <si>
    <t xml:space="preserve">T1071.001</t>
  </si>
  <si>
    <t xml:space="preserve">Sysmon EID 3</t>
  </si>
  <si>
    <t xml:space="preserve">LOW</t>
  </si>
  <si>
    <t xml:space="preserve">FALSE POSITIVE</t>
  </si>
  <si>
    <t xml:space="preserve">Yes</t>
  </si>
  <si>
    <t xml:space="preserve">SigmaHQ Issue 6056 filed by William James. Sysmon EID 3 network connection rule generating FP on legitimate Azure traffic. Validated against real telemetry.</t>
  </si>
  <si>
    <t xml:space="preserve">SigmaHQ Issue #6057</t>
  </si>
  <si>
    <t xml:space="preserve">INC-008</t>
  </si>
  <si>
    <t xml:space="preserve">Coverage Gap</t>
  </si>
  <si>
    <t xml:space="preserve">ADSI/WinNT local user creation — no rule coverage</t>
  </si>
  <si>
    <t xml:space="preserve">T1136.001</t>
  </si>
  <si>
    <t xml:space="preserve">Windows / Sysmon</t>
  </si>
  <si>
    <t xml:space="preserve">EID 4104 / Win 4720</t>
  </si>
  <si>
    <t xml:space="preserve">OPEN</t>
  </si>
  <si>
    <t xml:space="preserve">SigmaHQ Issue 6057 filed. T1136.001 local user creation via ADSI/WinNT provider not covered by existing Sigma rules. Validated gap with EID 4104 script block logs. PR 6064 opened by community contributor raylee-hawkins.</t>
  </si>
  <si>
    <t xml:space="preserve">2025-12-10</t>
  </si>
  <si>
    <t xml:space="preserve">AWS CloudTrail SOC Lab</t>
  </si>
  <si>
    <t xml:space="preserve">INC-009</t>
  </si>
  <si>
    <t xml:space="preserve">IAM Abuse</t>
  </si>
  <si>
    <t xml:space="preserve">Unusual AssumeRole API call</t>
  </si>
  <si>
    <t xml:space="preserve">AWS IAM</t>
  </si>
  <si>
    <t xml:space="preserve">corpops-cloudtrail-logs-2026</t>
  </si>
  <si>
    <t xml:space="preserve">T1078.004</t>
  </si>
  <si>
    <t xml:space="preserve">AWS CloudTrail</t>
  </si>
  <si>
    <t xml:space="preserve">AssumeRole event</t>
  </si>
  <si>
    <t xml:space="preserve">Trail: corpops-soc-trail | Bucket: corpops-cloudtrail-logs-2026 | Region: us-east-1. Anomalous AssumeRole call from unknown principal. T1078.004 Valid Cloud Accounts.</t>
  </si>
  <si>
    <t xml:space="preserve">Account Creation</t>
  </si>
  <si>
    <t xml:space="preserve">CreateUser API call outside change window</t>
  </si>
  <si>
    <t xml:space="preserve">us-east-1</t>
  </si>
  <si>
    <t xml:space="preserve">CreateUser API event</t>
  </si>
  <si>
    <t xml:space="preserve">CloudTrail CreateUser event detected outside approved change window. T1136.001 Create Account. Mapped via MITRE ATT&amp;CK Cloud matrix.</t>
  </si>
  <si>
    <t xml:space="preserve">Permission Abuse</t>
  </si>
  <si>
    <t xml:space="preserve">AttachUserPolicy — admin policy attached</t>
  </si>
  <si>
    <t xml:space="preserve">T1098</t>
  </si>
  <si>
    <t xml:space="preserve">AttachUserPolicy event</t>
  </si>
  <si>
    <t xml:space="preserve">AdministratorAccess policy attached to newly created IAM user. T1098 Account Manipulation. Trail: corpops-soc-trail confirmed event.</t>
  </si>
  <si>
    <t xml:space="preserve">2025-12-05</t>
  </si>
  <si>
    <t xml:space="preserve">Microsoft Sentinel Lab</t>
  </si>
  <si>
    <t xml:space="preserve">INC-010</t>
  </si>
  <si>
    <t xml:space="preserve">Threat Hunt</t>
  </si>
  <si>
    <t xml:space="preserve">KQL anomalous signin detection</t>
  </si>
  <si>
    <t xml:space="preserve">Azure AD</t>
  </si>
  <si>
    <t xml:space="preserve">Sentinel Workspace</t>
  </si>
  <si>
    <t xml:space="preserve">Microsoft Sentinel</t>
  </si>
  <si>
    <t xml:space="preserve">KQL Analytics Rule</t>
  </si>
  <si>
    <t xml:space="preserve">MONITORING</t>
  </si>
  <si>
    <t xml:space="preserve">KQL query: SecurityEvent | where EventID == 4625 | summarize count() by Account, IPAddress. Anomalous signin pattern from unexpected geography detected.</t>
  </si>
  <si>
    <t xml:space="preserve">TOTAL IOCs LOGGED: 24</t>
  </si>
  <si>
    <t xml:space="preserve">INCIDENT PIVOT SUMMARY — Real Lab Evidence</t>
  </si>
  <si>
    <t xml:space="preserve">SEVERITY BREAKDOWN</t>
  </si>
  <si>
    <t xml:space="preserve">LAB PROJECT COVERAGE</t>
  </si>
  <si>
    <t xml:space="preserve">Severity</t>
  </si>
  <si>
    <t xml:space="preserve">Count</t>
  </si>
  <si>
    <t xml:space="preserve">% of Total</t>
  </si>
  <si>
    <t xml:space="preserve">Lab Project</t>
  </si>
  <si>
    <t xml:space="preserve">IOC Count</t>
  </si>
  <si>
    <t xml:space="preserve">STATUS BREAKDOWN</t>
  </si>
  <si>
    <t xml:space="preserve">SigmaHQ Contributions</t>
  </si>
  <si>
    <t xml:space="preserve">Status</t>
  </si>
  <si>
    <t xml:space="preserve">AWS CloudTrail Lab</t>
  </si>
  <si>
    <t xml:space="preserve">CONTAINED</t>
  </si>
  <si>
    <t xml:space="preserve">MITRE ATT&amp;CK TACTIC BREAKDOWN</t>
  </si>
  <si>
    <t xml:space="preserve">MITRE Tactic</t>
  </si>
  <si>
    <t xml:space="preserve">Lab Source</t>
  </si>
  <si>
    <t xml:space="preserve">T1110 / T1552</t>
  </si>
  <si>
    <t xml:space="preserve">Wazuh, Suricata, Splunk, Wireshark</t>
  </si>
  <si>
    <t xml:space="preserve">T1059.001 / T1059.003</t>
  </si>
  <si>
    <t xml:space="preserve">PowerShell Forensics, Splunk</t>
  </si>
  <si>
    <t xml:space="preserve">TA0010 / T1048.003</t>
  </si>
  <si>
    <t xml:space="preserve">soc-ai-era-lab, Wireshark PCAP</t>
  </si>
  <si>
    <t xml:space="preserve">soc-ai-era-lab, SigmaHQ</t>
  </si>
  <si>
    <t xml:space="preserve">TA0003 / T1136.001</t>
  </si>
  <si>
    <t xml:space="preserve">Splunk, AWS CloudTrail, SigmaHQ</t>
  </si>
  <si>
    <t xml:space="preserve">T1078.004 / T1098</t>
  </si>
  <si>
    <t xml:space="preserve">Suricata, Wireshark</t>
  </si>
  <si>
    <t xml:space="preserve">soc-ai-era-lab, Sentinel</t>
  </si>
  <si>
    <t xml:space="preserve">Splunk Attack Chain</t>
  </si>
  <si>
    <t xml:space="preserve">IP CORRELATION — VLOOKUP Threat Intel Cross-Reference (Real Lab IOCs)</t>
  </si>
  <si>
    <t xml:space="preserve">THREAT INTELLIGENCE REFERENCE TABLE</t>
  </si>
  <si>
    <t xml:space="preserve">IP / Indicator</t>
  </si>
  <si>
    <t xml:space="preserve">Threat Type</t>
  </si>
  <si>
    <t xml:space="preserve">Confidence</t>
  </si>
  <si>
    <t xml:space="preserve">Intel Source</t>
  </si>
  <si>
    <t xml:space="preserve">Lab Confirmed</t>
  </si>
  <si>
    <t xml:space="preserve">TOR Node / MCP Exfil C2</t>
  </si>
  <si>
    <t xml:space="preserve">soc-ai-era-lab (1,877 records)</t>
  </si>
  <si>
    <t xml:space="preserve">Kali Attacker — SSH Brute Force</t>
  </si>
  <si>
    <t xml:space="preserve">Wazuh + Suricata Lab</t>
  </si>
  <si>
    <t xml:space="preserve">203.0.113.99</t>
  </si>
  <si>
    <t xml:space="preserve">SSH Brute Force</t>
  </si>
  <si>
    <t xml:space="preserve">AlienVault OTX</t>
  </si>
  <si>
    <t xml:space="preserve">malware-cdn.ru</t>
  </si>
  <si>
    <t xml:space="preserve">C2 Domain</t>
  </si>
  <si>
    <t xml:space="preserve">AbuseIPDB</t>
  </si>
  <si>
    <t xml:space="preserve">185.220.101.45</t>
  </si>
  <si>
    <t xml:space="preserve">TOR Exit Node</t>
  </si>
  <si>
    <t xml:space="preserve">AbuseIPDB / VirusTotal</t>
  </si>
  <si>
    <t xml:space="preserve">VLOOKUP — CHECK OBSERVED IP AGAINST THREAT INTEL</t>
  </si>
  <si>
    <t xml:space="preserve">Observed IP</t>
  </si>
  <si>
    <t xml:space="preserve">MATCH RESULT</t>
  </si>
  <si>
    <t xml:space="preserve">Lab</t>
  </si>
  <si>
    <t xml:space="preserve">soc-ai-era-lab</t>
  </si>
  <si>
    <t xml:space="preserve">Wazuh/Suricata</t>
  </si>
  <si>
    <t xml:space="preserve">Splunk Lab</t>
  </si>
  <si>
    <t xml:space="preserve">External TI</t>
  </si>
  <si>
    <t xml:space="preserve">172.16.0.5</t>
  </si>
  <si>
    <t xml:space="preserve">Internal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</si>
</sst>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11111"/>
      <name val="Arial"/>
      <family val="0"/>
      <charset val="1"/>
    </font>
    <font>
      <sz val="8"/>
      <color rgb="FF111111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0D1B2A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B2A"/>
        <bgColor rgb="FF111111"/>
      </patternFill>
    </fill>
    <fill>
      <patternFill patternType="solid">
        <fgColor rgb="FFF2F4F7"/>
        <bgColor rgb="FFFFFFFF"/>
      </patternFill>
    </fill>
    <fill>
      <patternFill patternType="solid">
        <fgColor rgb="FFC0392B"/>
        <bgColor rgb="FF993366"/>
      </patternFill>
    </fill>
    <fill>
      <patternFill patternType="solid">
        <fgColor rgb="FF27AE60"/>
        <bgColor rgb="FF1ABC9C"/>
      </patternFill>
    </fill>
    <fill>
      <patternFill patternType="solid">
        <fgColor rgb="FFFFFFFF"/>
        <bgColor rgb="FFF2F4F7"/>
      </patternFill>
    </fill>
    <fill>
      <patternFill patternType="solid">
        <fgColor rgb="FFF39C12"/>
        <bgColor rgb="FFE67E22"/>
      </patternFill>
    </fill>
    <fill>
      <patternFill patternType="solid">
        <fgColor rgb="FFE67E22"/>
        <bgColor rgb="FFF39C12"/>
      </patternFill>
    </fill>
    <fill>
      <patternFill patternType="solid">
        <fgColor rgb="FF1A5276"/>
        <bgColor rgb="FF333399"/>
      </patternFill>
    </fill>
    <fill>
      <patternFill patternType="solid">
        <fgColor rgb="FF117A65"/>
        <bgColor rgb="FF008080"/>
      </patternFill>
    </fill>
    <fill>
      <patternFill patternType="solid">
        <fgColor rgb="FF8E44AD"/>
        <bgColor rgb="FF993366"/>
      </patternFill>
    </fill>
    <fill>
      <patternFill patternType="solid">
        <fgColor rgb="FF1ABC9C"/>
        <bgColor rgb="FF27AE6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17A65"/>
      <rgbColor rgb="FFC0C0C0"/>
      <rgbColor rgb="FF808080"/>
      <rgbColor rgb="FF9999FF"/>
      <rgbColor rgb="FF8E44AD"/>
      <rgbColor rgb="FFF2F4F7"/>
      <rgbColor rgb="FFCCFFFF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1ABC9C"/>
      <rgbColor rgb="FF99CC00"/>
      <rgbColor rgb="FFFFCC00"/>
      <rgbColor rgb="FFF39C12"/>
      <rgbColor rgb="FFE67E22"/>
      <rgbColor rgb="FF666699"/>
      <rgbColor rgb="FF969696"/>
      <rgbColor rgb="FF1A5276"/>
      <rgbColor rgb="FF27AE60"/>
      <rgbColor rgb="FF0D1B2A"/>
      <rgbColor rgb="FF111111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17"/>
    <col collapsed="false" customWidth="true" hidden="false" outlineLevel="0" max="9" min="9" style="0" width="7"/>
    <col collapsed="false" customWidth="true" hidden="false" outlineLevel="0" max="10" min="10" style="0" width="11"/>
    <col collapsed="false" customWidth="true" hidden="false" outlineLevel="0" max="11" min="11" style="0" width="20"/>
    <col collapsed="false" customWidth="true" hidden="false" outlineLevel="0" max="12" min="12" style="0" width="11"/>
    <col collapsed="false" customWidth="true" hidden="false" outlineLevel="0" max="13" min="13" style="0" width="15"/>
    <col collapsed="false" customWidth="true" hidden="false" outlineLevel="0" max="14" min="14" style="0" width="17"/>
    <col collapsed="false" customWidth="true" hidden="false" outlineLevel="0" max="15" min="15" style="0" width="11"/>
    <col collapsed="false" customWidth="true" hidden="false" outlineLevel="0" max="16" min="16" style="0" width="14"/>
    <col collapsed="false" customWidth="true" hidden="false" outlineLevel="0" max="17" min="17" style="0" width="6"/>
    <col collapsed="false" customWidth="true" hidden="false" outlineLevel="0" max="18" min="18" style="0" width="38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customFormat="false" ht="30" hidden="false" customHeight="true" outlineLevel="0" collapsed="false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</row>
    <row r="5" customFormat="false" ht="37.5" hidden="false" customHeight="true" outlineLevel="0" collapsed="false">
      <c r="A5" s="2" t="n">
        <v>1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23</v>
      </c>
      <c r="H5" s="3" t="s">
        <v>24</v>
      </c>
      <c r="I5" s="3" t="s">
        <v>25</v>
      </c>
      <c r="J5" s="3" t="s">
        <v>26</v>
      </c>
      <c r="K5" s="3" t="s">
        <v>27</v>
      </c>
      <c r="L5" s="3" t="s">
        <v>28</v>
      </c>
      <c r="M5" s="3" t="s">
        <v>29</v>
      </c>
      <c r="N5" s="4" t="s">
        <v>30</v>
      </c>
      <c r="O5" s="5" t="s">
        <v>31</v>
      </c>
      <c r="P5" s="6" t="s">
        <v>32</v>
      </c>
      <c r="Q5" s="3" t="s">
        <v>33</v>
      </c>
      <c r="R5" s="7" t="s">
        <v>34</v>
      </c>
    </row>
    <row r="6" customFormat="false" ht="37.5" hidden="false" customHeight="true" outlineLevel="0" collapsed="false">
      <c r="A6" s="2" t="n">
        <v>2</v>
      </c>
      <c r="B6" s="8" t="s">
        <v>19</v>
      </c>
      <c r="C6" s="8" t="s">
        <v>20</v>
      </c>
      <c r="D6" s="8" t="s">
        <v>21</v>
      </c>
      <c r="E6" s="8" t="s">
        <v>35</v>
      </c>
      <c r="F6" s="8" t="s">
        <v>36</v>
      </c>
      <c r="G6" s="8" t="s">
        <v>23</v>
      </c>
      <c r="H6" s="8" t="s">
        <v>37</v>
      </c>
      <c r="I6" s="8" t="s">
        <v>25</v>
      </c>
      <c r="J6" s="8" t="s">
        <v>26</v>
      </c>
      <c r="K6" s="8" t="s">
        <v>27</v>
      </c>
      <c r="L6" s="8" t="s">
        <v>38</v>
      </c>
      <c r="M6" s="8" t="s">
        <v>29</v>
      </c>
      <c r="N6" s="9" t="s">
        <v>39</v>
      </c>
      <c r="O6" s="5" t="s">
        <v>31</v>
      </c>
      <c r="P6" s="6" t="s">
        <v>32</v>
      </c>
      <c r="Q6" s="8" t="s">
        <v>33</v>
      </c>
      <c r="R6" s="10" t="s">
        <v>40</v>
      </c>
    </row>
    <row r="7" customFormat="false" ht="37.5" hidden="false" customHeight="true" outlineLevel="0" collapsed="false">
      <c r="A7" s="2" t="n">
        <v>3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23</v>
      </c>
      <c r="H7" s="3" t="s">
        <v>46</v>
      </c>
      <c r="I7" s="3" t="s">
        <v>47</v>
      </c>
      <c r="J7" s="3" t="s">
        <v>48</v>
      </c>
      <c r="K7" s="3" t="s">
        <v>49</v>
      </c>
      <c r="L7" s="3" t="s">
        <v>50</v>
      </c>
      <c r="M7" s="3" t="s">
        <v>51</v>
      </c>
      <c r="N7" s="4" t="s">
        <v>52</v>
      </c>
      <c r="O7" s="11" t="s">
        <v>53</v>
      </c>
      <c r="P7" s="6" t="s">
        <v>32</v>
      </c>
      <c r="Q7" s="3" t="s">
        <v>33</v>
      </c>
      <c r="R7" s="7" t="s">
        <v>54</v>
      </c>
    </row>
    <row r="8" customFormat="false" ht="37.5" hidden="false" customHeight="true" outlineLevel="0" collapsed="false">
      <c r="A8" s="2" t="n">
        <v>4</v>
      </c>
      <c r="B8" s="8" t="s">
        <v>41</v>
      </c>
      <c r="C8" s="8" t="s">
        <v>42</v>
      </c>
      <c r="D8" s="8" t="s">
        <v>43</v>
      </c>
      <c r="E8" s="8" t="s">
        <v>55</v>
      </c>
      <c r="F8" s="8" t="s">
        <v>56</v>
      </c>
      <c r="G8" s="8" t="s">
        <v>23</v>
      </c>
      <c r="H8" s="8" t="s">
        <v>57</v>
      </c>
      <c r="I8" s="8" t="s">
        <v>25</v>
      </c>
      <c r="J8" s="8" t="s">
        <v>26</v>
      </c>
      <c r="K8" s="8" t="s">
        <v>27</v>
      </c>
      <c r="L8" s="8" t="s">
        <v>28</v>
      </c>
      <c r="M8" s="8" t="s">
        <v>51</v>
      </c>
      <c r="N8" s="9" t="s">
        <v>58</v>
      </c>
      <c r="O8" s="12" t="s">
        <v>59</v>
      </c>
      <c r="P8" s="6" t="s">
        <v>32</v>
      </c>
      <c r="Q8" s="8" t="s">
        <v>33</v>
      </c>
      <c r="R8" s="10" t="s">
        <v>60</v>
      </c>
    </row>
    <row r="9" customFormat="false" ht="37.5" hidden="false" customHeight="true" outlineLevel="0" collapsed="false">
      <c r="A9" s="2" t="n">
        <v>5</v>
      </c>
      <c r="B9" s="3" t="s">
        <v>61</v>
      </c>
      <c r="C9" s="3" t="s">
        <v>62</v>
      </c>
      <c r="D9" s="3" t="s">
        <v>63</v>
      </c>
      <c r="E9" s="3" t="s">
        <v>44</v>
      </c>
      <c r="F9" s="3" t="s">
        <v>64</v>
      </c>
      <c r="G9" s="3" t="s">
        <v>23</v>
      </c>
      <c r="H9" s="3" t="s">
        <v>65</v>
      </c>
      <c r="I9" s="3" t="s">
        <v>66</v>
      </c>
      <c r="J9" s="3" t="s">
        <v>48</v>
      </c>
      <c r="K9" s="3" t="s">
        <v>49</v>
      </c>
      <c r="L9" s="3" t="s">
        <v>50</v>
      </c>
      <c r="M9" s="3" t="s">
        <v>67</v>
      </c>
      <c r="N9" s="4" t="s">
        <v>68</v>
      </c>
      <c r="O9" s="11" t="s">
        <v>53</v>
      </c>
      <c r="P9" s="6" t="s">
        <v>32</v>
      </c>
      <c r="Q9" s="3" t="s">
        <v>33</v>
      </c>
      <c r="R9" s="7" t="s">
        <v>69</v>
      </c>
    </row>
    <row r="10" customFormat="false" ht="37.5" hidden="false" customHeight="true" outlineLevel="0" collapsed="false">
      <c r="A10" s="2" t="n">
        <v>6</v>
      </c>
      <c r="B10" s="8" t="s">
        <v>61</v>
      </c>
      <c r="C10" s="8" t="s">
        <v>62</v>
      </c>
      <c r="D10" s="8" t="s">
        <v>63</v>
      </c>
      <c r="E10" s="8" t="s">
        <v>70</v>
      </c>
      <c r="F10" s="8" t="s">
        <v>71</v>
      </c>
      <c r="G10" s="8" t="s">
        <v>23</v>
      </c>
      <c r="H10" s="8" t="s">
        <v>57</v>
      </c>
      <c r="I10" s="8" t="s">
        <v>25</v>
      </c>
      <c r="J10" s="8" t="s">
        <v>26</v>
      </c>
      <c r="K10" s="8" t="s">
        <v>27</v>
      </c>
      <c r="L10" s="8" t="s">
        <v>28</v>
      </c>
      <c r="M10" s="8" t="s">
        <v>67</v>
      </c>
      <c r="N10" s="9" t="s">
        <v>72</v>
      </c>
      <c r="O10" s="12" t="s">
        <v>59</v>
      </c>
      <c r="P10" s="6" t="s">
        <v>32</v>
      </c>
      <c r="Q10" s="8" t="s">
        <v>33</v>
      </c>
      <c r="R10" s="10" t="s">
        <v>73</v>
      </c>
    </row>
    <row r="11" customFormat="false" ht="37.5" hidden="false" customHeight="true" outlineLevel="0" collapsed="false">
      <c r="A11" s="2" t="n">
        <v>7</v>
      </c>
      <c r="B11" s="3" t="s">
        <v>61</v>
      </c>
      <c r="C11" s="3" t="s">
        <v>62</v>
      </c>
      <c r="D11" s="3" t="s">
        <v>63</v>
      </c>
      <c r="E11" s="3" t="s">
        <v>74</v>
      </c>
      <c r="F11" s="3" t="s">
        <v>75</v>
      </c>
      <c r="G11" s="3" t="s">
        <v>23</v>
      </c>
      <c r="H11" s="3" t="s">
        <v>57</v>
      </c>
      <c r="I11" s="3" t="s">
        <v>76</v>
      </c>
      <c r="J11" s="3" t="s">
        <v>77</v>
      </c>
      <c r="K11" s="3" t="s">
        <v>27</v>
      </c>
      <c r="L11" s="3" t="s">
        <v>78</v>
      </c>
      <c r="M11" s="3" t="s">
        <v>67</v>
      </c>
      <c r="N11" s="4" t="s">
        <v>79</v>
      </c>
      <c r="O11" s="5" t="s">
        <v>31</v>
      </c>
      <c r="P11" s="6" t="s">
        <v>32</v>
      </c>
      <c r="Q11" s="3" t="s">
        <v>33</v>
      </c>
      <c r="R11" s="7" t="s">
        <v>80</v>
      </c>
    </row>
    <row r="12" customFormat="false" ht="37.5" hidden="false" customHeight="true" outlineLevel="0" collapsed="false">
      <c r="A12" s="2" t="n">
        <v>8</v>
      </c>
      <c r="B12" s="8" t="s">
        <v>61</v>
      </c>
      <c r="C12" s="8" t="s">
        <v>62</v>
      </c>
      <c r="D12" s="8" t="s">
        <v>63</v>
      </c>
      <c r="E12" s="8" t="s">
        <v>81</v>
      </c>
      <c r="F12" s="8" t="s">
        <v>82</v>
      </c>
      <c r="G12" s="8" t="s">
        <v>23</v>
      </c>
      <c r="H12" s="8" t="s">
        <v>83</v>
      </c>
      <c r="I12" s="8" t="s">
        <v>84</v>
      </c>
      <c r="J12" s="8" t="s">
        <v>85</v>
      </c>
      <c r="K12" s="8" t="s">
        <v>86</v>
      </c>
      <c r="L12" s="8" t="s">
        <v>87</v>
      </c>
      <c r="M12" s="8" t="s">
        <v>67</v>
      </c>
      <c r="N12" s="9" t="s">
        <v>88</v>
      </c>
      <c r="O12" s="12" t="s">
        <v>59</v>
      </c>
      <c r="P12" s="6" t="s">
        <v>32</v>
      </c>
      <c r="Q12" s="8" t="s">
        <v>33</v>
      </c>
      <c r="R12" s="10" t="s">
        <v>89</v>
      </c>
    </row>
    <row r="13" customFormat="false" ht="37.5" hidden="false" customHeight="true" outlineLevel="0" collapsed="false">
      <c r="A13" s="2" t="n">
        <v>9</v>
      </c>
      <c r="B13" s="3" t="s">
        <v>90</v>
      </c>
      <c r="C13" s="3" t="s">
        <v>91</v>
      </c>
      <c r="D13" s="3" t="s">
        <v>92</v>
      </c>
      <c r="E13" s="3" t="s">
        <v>93</v>
      </c>
      <c r="F13" s="3" t="s">
        <v>94</v>
      </c>
      <c r="G13" s="3" t="s">
        <v>95</v>
      </c>
      <c r="H13" s="3" t="s">
        <v>95</v>
      </c>
      <c r="I13" s="3" t="s">
        <v>96</v>
      </c>
      <c r="J13" s="3" t="s">
        <v>96</v>
      </c>
      <c r="K13" s="3" t="s">
        <v>97</v>
      </c>
      <c r="L13" s="3" t="s">
        <v>98</v>
      </c>
      <c r="M13" s="3" t="s">
        <v>99</v>
      </c>
      <c r="N13" s="4" t="s">
        <v>100</v>
      </c>
      <c r="O13" s="12" t="s">
        <v>59</v>
      </c>
      <c r="P13" s="6" t="s">
        <v>32</v>
      </c>
      <c r="Q13" s="3" t="s">
        <v>33</v>
      </c>
      <c r="R13" s="7" t="s">
        <v>101</v>
      </c>
    </row>
    <row r="14" customFormat="false" ht="37.5" hidden="false" customHeight="true" outlineLevel="0" collapsed="false">
      <c r="A14" s="2" t="n">
        <v>10</v>
      </c>
      <c r="B14" s="8" t="s">
        <v>90</v>
      </c>
      <c r="C14" s="8" t="s">
        <v>91</v>
      </c>
      <c r="D14" s="8" t="s">
        <v>92</v>
      </c>
      <c r="E14" s="8" t="s">
        <v>102</v>
      </c>
      <c r="F14" s="8" t="s">
        <v>103</v>
      </c>
      <c r="G14" s="8" t="s">
        <v>95</v>
      </c>
      <c r="H14" s="8" t="s">
        <v>95</v>
      </c>
      <c r="I14" s="8" t="s">
        <v>96</v>
      </c>
      <c r="J14" s="8" t="s">
        <v>96</v>
      </c>
      <c r="K14" s="8" t="s">
        <v>97</v>
      </c>
      <c r="L14" s="8" t="s">
        <v>98</v>
      </c>
      <c r="M14" s="8" t="s">
        <v>104</v>
      </c>
      <c r="N14" s="9" t="s">
        <v>105</v>
      </c>
      <c r="O14" s="12" t="s">
        <v>59</v>
      </c>
      <c r="P14" s="6" t="s">
        <v>32</v>
      </c>
      <c r="Q14" s="8" t="s">
        <v>33</v>
      </c>
      <c r="R14" s="10" t="s">
        <v>106</v>
      </c>
    </row>
    <row r="15" customFormat="false" ht="37.5" hidden="false" customHeight="true" outlineLevel="0" collapsed="false">
      <c r="A15" s="2" t="n">
        <v>11</v>
      </c>
      <c r="B15" s="3" t="s">
        <v>107</v>
      </c>
      <c r="C15" s="3" t="s">
        <v>108</v>
      </c>
      <c r="D15" s="3" t="s">
        <v>109</v>
      </c>
      <c r="E15" s="3" t="s">
        <v>22</v>
      </c>
      <c r="F15" s="3" t="s">
        <v>110</v>
      </c>
      <c r="G15" s="3" t="s">
        <v>110</v>
      </c>
      <c r="H15" s="3" t="s">
        <v>111</v>
      </c>
      <c r="I15" s="3" t="s">
        <v>112</v>
      </c>
      <c r="J15" s="3" t="s">
        <v>113</v>
      </c>
      <c r="K15" s="3" t="s">
        <v>114</v>
      </c>
      <c r="L15" s="3" t="s">
        <v>115</v>
      </c>
      <c r="M15" s="3" t="s">
        <v>116</v>
      </c>
      <c r="N15" s="4" t="s">
        <v>117</v>
      </c>
      <c r="O15" s="5" t="s">
        <v>31</v>
      </c>
      <c r="P15" s="13" t="s">
        <v>118</v>
      </c>
      <c r="Q15" s="3" t="s">
        <v>33</v>
      </c>
      <c r="R15" s="7" t="s">
        <v>119</v>
      </c>
    </row>
    <row r="16" customFormat="false" ht="37.5" hidden="false" customHeight="true" outlineLevel="0" collapsed="false">
      <c r="A16" s="2" t="n">
        <v>12</v>
      </c>
      <c r="B16" s="8" t="s">
        <v>107</v>
      </c>
      <c r="C16" s="8" t="s">
        <v>108</v>
      </c>
      <c r="D16" s="8" t="s">
        <v>109</v>
      </c>
      <c r="E16" s="8" t="s">
        <v>120</v>
      </c>
      <c r="F16" s="8" t="s">
        <v>121</v>
      </c>
      <c r="G16" s="8" t="s">
        <v>110</v>
      </c>
      <c r="H16" s="8" t="s">
        <v>122</v>
      </c>
      <c r="I16" s="8" t="s">
        <v>112</v>
      </c>
      <c r="J16" s="8" t="s">
        <v>113</v>
      </c>
      <c r="K16" s="8" t="s">
        <v>86</v>
      </c>
      <c r="L16" s="8" t="s">
        <v>123</v>
      </c>
      <c r="M16" s="8" t="s">
        <v>124</v>
      </c>
      <c r="N16" s="9" t="s">
        <v>125</v>
      </c>
      <c r="O16" s="5" t="s">
        <v>31</v>
      </c>
      <c r="P16" s="13" t="s">
        <v>118</v>
      </c>
      <c r="Q16" s="8" t="s">
        <v>33</v>
      </c>
      <c r="R16" s="10" t="s">
        <v>126</v>
      </c>
    </row>
    <row r="17" customFormat="false" ht="37.5" hidden="false" customHeight="true" outlineLevel="0" collapsed="false">
      <c r="A17" s="2" t="n">
        <v>13</v>
      </c>
      <c r="B17" s="3" t="s">
        <v>107</v>
      </c>
      <c r="C17" s="3" t="s">
        <v>108</v>
      </c>
      <c r="D17" s="3" t="s">
        <v>109</v>
      </c>
      <c r="E17" s="3" t="s">
        <v>127</v>
      </c>
      <c r="F17" s="3" t="s">
        <v>128</v>
      </c>
      <c r="G17" s="3" t="s">
        <v>129</v>
      </c>
      <c r="H17" s="3" t="s">
        <v>130</v>
      </c>
      <c r="I17" s="3" t="s">
        <v>96</v>
      </c>
      <c r="J17" s="3" t="s">
        <v>131</v>
      </c>
      <c r="K17" s="3" t="s">
        <v>132</v>
      </c>
      <c r="L17" s="3" t="s">
        <v>133</v>
      </c>
      <c r="M17" s="3" t="s">
        <v>134</v>
      </c>
      <c r="N17" s="4" t="s">
        <v>135</v>
      </c>
      <c r="O17" s="12" t="s">
        <v>59</v>
      </c>
      <c r="P17" s="13" t="s">
        <v>118</v>
      </c>
      <c r="Q17" s="3" t="s">
        <v>33</v>
      </c>
      <c r="R17" s="7" t="s">
        <v>136</v>
      </c>
    </row>
    <row r="18" customFormat="false" ht="37.5" hidden="false" customHeight="true" outlineLevel="0" collapsed="false">
      <c r="A18" s="2" t="n">
        <v>14</v>
      </c>
      <c r="B18" s="8" t="s">
        <v>107</v>
      </c>
      <c r="C18" s="8" t="s">
        <v>108</v>
      </c>
      <c r="D18" s="8" t="s">
        <v>109</v>
      </c>
      <c r="E18" s="8" t="s">
        <v>137</v>
      </c>
      <c r="F18" s="8" t="s">
        <v>138</v>
      </c>
      <c r="G18" s="8" t="s">
        <v>139</v>
      </c>
      <c r="H18" s="8" t="s">
        <v>110</v>
      </c>
      <c r="I18" s="8" t="s">
        <v>112</v>
      </c>
      <c r="J18" s="8" t="s">
        <v>113</v>
      </c>
      <c r="K18" s="8" t="s">
        <v>140</v>
      </c>
      <c r="L18" s="8" t="s">
        <v>141</v>
      </c>
      <c r="M18" s="8" t="s">
        <v>124</v>
      </c>
      <c r="N18" s="9" t="s">
        <v>142</v>
      </c>
      <c r="O18" s="5" t="s">
        <v>31</v>
      </c>
      <c r="P18" s="13" t="s">
        <v>118</v>
      </c>
      <c r="Q18" s="8" t="s">
        <v>33</v>
      </c>
      <c r="R18" s="10" t="s">
        <v>143</v>
      </c>
    </row>
    <row r="19" customFormat="false" ht="37.5" hidden="false" customHeight="true" outlineLevel="0" collapsed="false">
      <c r="A19" s="2" t="n">
        <v>15</v>
      </c>
      <c r="B19" s="3" t="s">
        <v>144</v>
      </c>
      <c r="C19" s="3" t="s">
        <v>145</v>
      </c>
      <c r="D19" s="3" t="s">
        <v>146</v>
      </c>
      <c r="E19" s="3" t="s">
        <v>35</v>
      </c>
      <c r="F19" s="3" t="s">
        <v>147</v>
      </c>
      <c r="G19" s="3" t="s">
        <v>148</v>
      </c>
      <c r="H19" s="3" t="s">
        <v>149</v>
      </c>
      <c r="I19" s="3" t="s">
        <v>96</v>
      </c>
      <c r="J19" s="3" t="s">
        <v>96</v>
      </c>
      <c r="K19" s="3" t="s">
        <v>27</v>
      </c>
      <c r="L19" s="3" t="s">
        <v>28</v>
      </c>
      <c r="M19" s="3" t="s">
        <v>150</v>
      </c>
      <c r="N19" s="4" t="s">
        <v>151</v>
      </c>
      <c r="O19" s="12" t="s">
        <v>59</v>
      </c>
      <c r="P19" s="6" t="s">
        <v>32</v>
      </c>
      <c r="Q19" s="3" t="s">
        <v>33</v>
      </c>
      <c r="R19" s="7" t="s">
        <v>152</v>
      </c>
    </row>
    <row r="20" customFormat="false" ht="37.5" hidden="false" customHeight="true" outlineLevel="0" collapsed="false">
      <c r="A20" s="2" t="n">
        <v>16</v>
      </c>
      <c r="B20" s="8" t="s">
        <v>144</v>
      </c>
      <c r="C20" s="8" t="s">
        <v>145</v>
      </c>
      <c r="D20" s="8" t="s">
        <v>146</v>
      </c>
      <c r="E20" s="8" t="s">
        <v>102</v>
      </c>
      <c r="F20" s="8" t="s">
        <v>153</v>
      </c>
      <c r="G20" s="8" t="s">
        <v>148</v>
      </c>
      <c r="H20" s="8" t="s">
        <v>149</v>
      </c>
      <c r="I20" s="8" t="s">
        <v>96</v>
      </c>
      <c r="J20" s="8" t="s">
        <v>96</v>
      </c>
      <c r="K20" s="8" t="s">
        <v>97</v>
      </c>
      <c r="L20" s="8" t="s">
        <v>154</v>
      </c>
      <c r="M20" s="8" t="s">
        <v>150</v>
      </c>
      <c r="N20" s="9" t="s">
        <v>155</v>
      </c>
      <c r="O20" s="12" t="s">
        <v>59</v>
      </c>
      <c r="P20" s="6" t="s">
        <v>32</v>
      </c>
      <c r="Q20" s="8" t="s">
        <v>33</v>
      </c>
      <c r="R20" s="10" t="s">
        <v>156</v>
      </c>
    </row>
    <row r="21" customFormat="false" ht="37.5" hidden="false" customHeight="true" outlineLevel="0" collapsed="false">
      <c r="A21" s="2" t="n">
        <v>17</v>
      </c>
      <c r="B21" s="3" t="s">
        <v>144</v>
      </c>
      <c r="C21" s="3" t="s">
        <v>145</v>
      </c>
      <c r="D21" s="3" t="s">
        <v>146</v>
      </c>
      <c r="E21" s="3" t="s">
        <v>157</v>
      </c>
      <c r="F21" s="3" t="s">
        <v>158</v>
      </c>
      <c r="G21" s="3" t="s">
        <v>148</v>
      </c>
      <c r="H21" s="3" t="s">
        <v>37</v>
      </c>
      <c r="I21" s="3" t="s">
        <v>96</v>
      </c>
      <c r="J21" s="3" t="s">
        <v>159</v>
      </c>
      <c r="K21" s="3" t="s">
        <v>157</v>
      </c>
      <c r="L21" s="3" t="s">
        <v>160</v>
      </c>
      <c r="M21" s="3" t="s">
        <v>150</v>
      </c>
      <c r="N21" s="4" t="s">
        <v>161</v>
      </c>
      <c r="O21" s="12" t="s">
        <v>59</v>
      </c>
      <c r="P21" s="6" t="s">
        <v>32</v>
      </c>
      <c r="Q21" s="3" t="s">
        <v>33</v>
      </c>
      <c r="R21" s="7" t="s">
        <v>162</v>
      </c>
    </row>
    <row r="22" customFormat="false" ht="37.5" hidden="false" customHeight="true" outlineLevel="0" collapsed="false">
      <c r="A22" s="2" t="n">
        <v>18</v>
      </c>
      <c r="B22" s="8" t="s">
        <v>144</v>
      </c>
      <c r="C22" s="8" t="s">
        <v>145</v>
      </c>
      <c r="D22" s="8" t="s">
        <v>146</v>
      </c>
      <c r="E22" s="8" t="s">
        <v>163</v>
      </c>
      <c r="F22" s="8" t="s">
        <v>164</v>
      </c>
      <c r="G22" s="8" t="s">
        <v>37</v>
      </c>
      <c r="H22" s="8" t="s">
        <v>149</v>
      </c>
      <c r="I22" s="8" t="s">
        <v>96</v>
      </c>
      <c r="J22" s="8" t="s">
        <v>96</v>
      </c>
      <c r="K22" s="8" t="s">
        <v>163</v>
      </c>
      <c r="L22" s="8" t="s">
        <v>165</v>
      </c>
      <c r="M22" s="8" t="s">
        <v>150</v>
      </c>
      <c r="N22" s="9" t="s">
        <v>166</v>
      </c>
      <c r="O22" s="5" t="s">
        <v>31</v>
      </c>
      <c r="P22" s="6" t="s">
        <v>32</v>
      </c>
      <c r="Q22" s="8" t="s">
        <v>33</v>
      </c>
      <c r="R22" s="10" t="s">
        <v>167</v>
      </c>
    </row>
    <row r="23" customFormat="false" ht="37.5" hidden="false" customHeight="true" outlineLevel="0" collapsed="false">
      <c r="A23" s="2" t="n">
        <v>19</v>
      </c>
      <c r="B23" s="3" t="s">
        <v>168</v>
      </c>
      <c r="C23" s="3" t="s">
        <v>169</v>
      </c>
      <c r="D23" s="3" t="s">
        <v>170</v>
      </c>
      <c r="E23" s="3" t="s">
        <v>171</v>
      </c>
      <c r="F23" s="3" t="s">
        <v>172</v>
      </c>
      <c r="G23" s="3" t="s">
        <v>173</v>
      </c>
      <c r="H23" s="3" t="s">
        <v>174</v>
      </c>
      <c r="I23" s="3" t="s">
        <v>112</v>
      </c>
      <c r="J23" s="3" t="s">
        <v>113</v>
      </c>
      <c r="K23" s="3" t="s">
        <v>114</v>
      </c>
      <c r="L23" s="3" t="s">
        <v>175</v>
      </c>
      <c r="M23" s="3" t="s">
        <v>104</v>
      </c>
      <c r="N23" s="4" t="s">
        <v>176</v>
      </c>
      <c r="O23" s="6" t="s">
        <v>177</v>
      </c>
      <c r="P23" s="14" t="s">
        <v>178</v>
      </c>
      <c r="Q23" s="11" t="s">
        <v>179</v>
      </c>
      <c r="R23" s="7" t="s">
        <v>180</v>
      </c>
    </row>
    <row r="24" customFormat="false" ht="37.5" hidden="false" customHeight="true" outlineLevel="0" collapsed="false">
      <c r="A24" s="2" t="n">
        <v>20</v>
      </c>
      <c r="B24" s="8" t="s">
        <v>168</v>
      </c>
      <c r="C24" s="8" t="s">
        <v>181</v>
      </c>
      <c r="D24" s="8" t="s">
        <v>182</v>
      </c>
      <c r="E24" s="8" t="s">
        <v>183</v>
      </c>
      <c r="F24" s="8" t="s">
        <v>184</v>
      </c>
      <c r="G24" s="8" t="s">
        <v>95</v>
      </c>
      <c r="H24" s="8" t="s">
        <v>95</v>
      </c>
      <c r="I24" s="8" t="s">
        <v>96</v>
      </c>
      <c r="J24" s="8" t="s">
        <v>96</v>
      </c>
      <c r="K24" s="8" t="s">
        <v>163</v>
      </c>
      <c r="L24" s="8" t="s">
        <v>185</v>
      </c>
      <c r="M24" s="8" t="s">
        <v>186</v>
      </c>
      <c r="N24" s="9" t="s">
        <v>187</v>
      </c>
      <c r="O24" s="12" t="s">
        <v>59</v>
      </c>
      <c r="P24" s="5" t="s">
        <v>188</v>
      </c>
      <c r="Q24" s="8" t="s">
        <v>33</v>
      </c>
      <c r="R24" s="10" t="s">
        <v>189</v>
      </c>
    </row>
    <row r="25" customFormat="false" ht="37.5" hidden="false" customHeight="true" outlineLevel="0" collapsed="false">
      <c r="A25" s="2" t="n">
        <v>21</v>
      </c>
      <c r="B25" s="3" t="s">
        <v>190</v>
      </c>
      <c r="C25" s="3" t="s">
        <v>191</v>
      </c>
      <c r="D25" s="3" t="s">
        <v>192</v>
      </c>
      <c r="E25" s="3" t="s">
        <v>193</v>
      </c>
      <c r="F25" s="3" t="s">
        <v>194</v>
      </c>
      <c r="G25" s="3" t="s">
        <v>195</v>
      </c>
      <c r="H25" s="3" t="s">
        <v>196</v>
      </c>
      <c r="I25" s="3" t="s">
        <v>96</v>
      </c>
      <c r="J25" s="3" t="s">
        <v>113</v>
      </c>
      <c r="K25" s="3" t="s">
        <v>140</v>
      </c>
      <c r="L25" s="3" t="s">
        <v>197</v>
      </c>
      <c r="M25" s="3" t="s">
        <v>198</v>
      </c>
      <c r="N25" s="4" t="s">
        <v>199</v>
      </c>
      <c r="O25" s="12" t="s">
        <v>59</v>
      </c>
      <c r="P25" s="5" t="s">
        <v>188</v>
      </c>
      <c r="Q25" s="3" t="s">
        <v>33</v>
      </c>
      <c r="R25" s="7" t="s">
        <v>200</v>
      </c>
    </row>
    <row r="26" customFormat="false" ht="37.5" hidden="false" customHeight="true" outlineLevel="0" collapsed="false">
      <c r="A26" s="2" t="n">
        <v>22</v>
      </c>
      <c r="B26" s="8" t="s">
        <v>190</v>
      </c>
      <c r="C26" s="8" t="s">
        <v>191</v>
      </c>
      <c r="D26" s="8" t="s">
        <v>192</v>
      </c>
      <c r="E26" s="8" t="s">
        <v>201</v>
      </c>
      <c r="F26" s="8" t="s">
        <v>202</v>
      </c>
      <c r="G26" s="8" t="s">
        <v>195</v>
      </c>
      <c r="H26" s="8" t="s">
        <v>203</v>
      </c>
      <c r="I26" s="8" t="s">
        <v>96</v>
      </c>
      <c r="J26" s="8" t="s">
        <v>113</v>
      </c>
      <c r="K26" s="8" t="s">
        <v>163</v>
      </c>
      <c r="L26" s="8" t="s">
        <v>185</v>
      </c>
      <c r="M26" s="8" t="s">
        <v>198</v>
      </c>
      <c r="N26" s="9" t="s">
        <v>204</v>
      </c>
      <c r="O26" s="12" t="s">
        <v>59</v>
      </c>
      <c r="P26" s="5" t="s">
        <v>188</v>
      </c>
      <c r="Q26" s="8" t="s">
        <v>33</v>
      </c>
      <c r="R26" s="10" t="s">
        <v>205</v>
      </c>
    </row>
    <row r="27" customFormat="false" ht="37.5" hidden="false" customHeight="true" outlineLevel="0" collapsed="false">
      <c r="A27" s="2" t="n">
        <v>23</v>
      </c>
      <c r="B27" s="3" t="s">
        <v>190</v>
      </c>
      <c r="C27" s="3" t="s">
        <v>191</v>
      </c>
      <c r="D27" s="3" t="s">
        <v>192</v>
      </c>
      <c r="E27" s="3" t="s">
        <v>206</v>
      </c>
      <c r="F27" s="3" t="s">
        <v>207</v>
      </c>
      <c r="G27" s="3" t="s">
        <v>195</v>
      </c>
      <c r="H27" s="3" t="s">
        <v>203</v>
      </c>
      <c r="I27" s="3" t="s">
        <v>96</v>
      </c>
      <c r="J27" s="3" t="s">
        <v>113</v>
      </c>
      <c r="K27" s="3" t="s">
        <v>140</v>
      </c>
      <c r="L27" s="3" t="s">
        <v>208</v>
      </c>
      <c r="M27" s="3" t="s">
        <v>198</v>
      </c>
      <c r="N27" s="4" t="s">
        <v>209</v>
      </c>
      <c r="O27" s="5" t="s">
        <v>31</v>
      </c>
      <c r="P27" s="5" t="s">
        <v>188</v>
      </c>
      <c r="Q27" s="3" t="s">
        <v>33</v>
      </c>
      <c r="R27" s="7" t="s">
        <v>210</v>
      </c>
    </row>
    <row r="28" customFormat="false" ht="37.5" hidden="false" customHeight="true" outlineLevel="0" collapsed="false">
      <c r="A28" s="2" t="n">
        <v>24</v>
      </c>
      <c r="B28" s="8" t="s">
        <v>211</v>
      </c>
      <c r="C28" s="8" t="s">
        <v>212</v>
      </c>
      <c r="D28" s="8" t="s">
        <v>213</v>
      </c>
      <c r="E28" s="8" t="s">
        <v>214</v>
      </c>
      <c r="F28" s="8" t="s">
        <v>215</v>
      </c>
      <c r="G28" s="8" t="s">
        <v>216</v>
      </c>
      <c r="H28" s="8" t="s">
        <v>217</v>
      </c>
      <c r="I28" s="8" t="s">
        <v>96</v>
      </c>
      <c r="J28" s="8" t="s">
        <v>113</v>
      </c>
      <c r="K28" s="8" t="s">
        <v>132</v>
      </c>
      <c r="L28" s="8" t="s">
        <v>197</v>
      </c>
      <c r="M28" s="8" t="s">
        <v>218</v>
      </c>
      <c r="N28" s="9" t="s">
        <v>219</v>
      </c>
      <c r="O28" s="11" t="s">
        <v>53</v>
      </c>
      <c r="P28" s="15" t="s">
        <v>220</v>
      </c>
      <c r="Q28" s="8" t="s">
        <v>33</v>
      </c>
      <c r="R28" s="10" t="s">
        <v>221</v>
      </c>
    </row>
    <row r="29" customFormat="false" ht="19.5" hidden="false" customHeight="true" outlineLevel="0" collapsed="false">
      <c r="A29" s="16" t="s">
        <v>222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7"/>
      <c r="P29" s="17"/>
      <c r="Q29" s="11" t="n">
        <f aca="false">COUNTIF(Q5:Q28,"Yes")</f>
        <v>1</v>
      </c>
      <c r="R29" s="17"/>
    </row>
  </sheetData>
  <mergeCells count="2">
    <mergeCell ref="A1:R3"/>
    <mergeCell ref="A29:N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  <col collapsed="false" customWidth="true" hidden="false" outlineLevel="0" max="4" min="4" style="0" width="28"/>
    <col collapsed="false" customWidth="true" hidden="false" outlineLevel="0" max="5" min="5" style="0" width="12"/>
  </cols>
  <sheetData>
    <row r="1" customFormat="false" ht="27.75" hidden="false" customHeight="true" outlineLevel="0" collapsed="false">
      <c r="A1" s="1" t="s">
        <v>223</v>
      </c>
      <c r="B1" s="1"/>
      <c r="C1" s="1"/>
      <c r="D1" s="1"/>
      <c r="E1" s="1"/>
    </row>
    <row r="2" customFormat="false" ht="15" hidden="false" customHeight="false" outlineLevel="0" collapsed="false">
      <c r="A2" s="1"/>
      <c r="B2" s="1"/>
      <c r="C2" s="1"/>
      <c r="D2" s="1"/>
      <c r="E2" s="1"/>
    </row>
    <row r="4" customFormat="false" ht="15" hidden="false" customHeight="false" outlineLevel="0" collapsed="false">
      <c r="A4" s="18" t="s">
        <v>224</v>
      </c>
      <c r="D4" s="18" t="s">
        <v>225</v>
      </c>
    </row>
    <row r="5" customFormat="false" ht="15" hidden="false" customHeight="false" outlineLevel="0" collapsed="false">
      <c r="A5" s="2" t="s">
        <v>226</v>
      </c>
      <c r="B5" s="2" t="s">
        <v>227</v>
      </c>
      <c r="C5" s="2" t="s">
        <v>228</v>
      </c>
      <c r="D5" s="2" t="s">
        <v>229</v>
      </c>
      <c r="E5" s="2" t="s">
        <v>230</v>
      </c>
    </row>
    <row r="6" customFormat="false" ht="18" hidden="false" customHeight="true" outlineLevel="0" collapsed="false">
      <c r="A6" s="5" t="s">
        <v>31</v>
      </c>
      <c r="B6" s="19" t="n">
        <f aca="false">COUNTIF('IOC Log'!O5:O28,"CRITICAL")</f>
        <v>8</v>
      </c>
      <c r="C6" s="20" t="n">
        <f aca="false">IF(B6=0,0,B6/SUM(B6:B9))</f>
        <v>0.333333333333333</v>
      </c>
      <c r="D6" s="4" t="s">
        <v>20</v>
      </c>
      <c r="E6" s="21" t="n">
        <v>2</v>
      </c>
    </row>
    <row r="7" customFormat="false" ht="18" hidden="false" customHeight="true" outlineLevel="0" collapsed="false">
      <c r="A7" s="12" t="s">
        <v>59</v>
      </c>
      <c r="B7" s="19" t="n">
        <f aca="false">COUNTIF('IOC Log'!O5:O28,"HIGH")</f>
        <v>12</v>
      </c>
      <c r="C7" s="20" t="n">
        <f aca="false">IF(B7=0,0,B7/SUM(B6:B9))</f>
        <v>0.5</v>
      </c>
      <c r="D7" s="9" t="s">
        <v>42</v>
      </c>
      <c r="E7" s="21" t="n">
        <v>2</v>
      </c>
    </row>
    <row r="8" customFormat="false" ht="18" hidden="false" customHeight="true" outlineLevel="0" collapsed="false">
      <c r="A8" s="11" t="s">
        <v>53</v>
      </c>
      <c r="B8" s="19" t="n">
        <f aca="false">COUNTIF('IOC Log'!O5:O28,"MEDIUM")</f>
        <v>3</v>
      </c>
      <c r="C8" s="20" t="n">
        <f aca="false">IF(B8=0,0,B8/SUM(B6:B9))</f>
        <v>0.125</v>
      </c>
      <c r="D8" s="4" t="s">
        <v>62</v>
      </c>
      <c r="E8" s="21" t="n">
        <v>4</v>
      </c>
    </row>
    <row r="9" customFormat="false" ht="18" hidden="false" customHeight="true" outlineLevel="0" collapsed="false">
      <c r="A9" s="6" t="s">
        <v>177</v>
      </c>
      <c r="B9" s="19" t="n">
        <f aca="false">COUNTIF('IOC Log'!O5:O28,"LOW")</f>
        <v>1</v>
      </c>
      <c r="C9" s="20" t="n">
        <f aca="false">IF(B9=0,0,B9/SUM(B6:B9))</f>
        <v>0.0416666666666667</v>
      </c>
      <c r="D9" s="9" t="s">
        <v>91</v>
      </c>
      <c r="E9" s="21" t="n">
        <v>2</v>
      </c>
    </row>
    <row r="10" customFormat="false" ht="15" hidden="false" customHeight="false" outlineLevel="0" collapsed="false">
      <c r="D10" s="4" t="s">
        <v>108</v>
      </c>
      <c r="E10" s="21" t="n">
        <v>4</v>
      </c>
    </row>
    <row r="11" customFormat="false" ht="15" hidden="false" customHeight="false" outlineLevel="0" collapsed="false">
      <c r="D11" s="9" t="s">
        <v>145</v>
      </c>
      <c r="E11" s="21" t="n">
        <v>4</v>
      </c>
    </row>
    <row r="12" customFormat="false" ht="15" hidden="false" customHeight="false" outlineLevel="0" collapsed="false">
      <c r="A12" s="18" t="s">
        <v>231</v>
      </c>
      <c r="D12" s="4" t="s">
        <v>232</v>
      </c>
      <c r="E12" s="21" t="n">
        <v>2</v>
      </c>
    </row>
    <row r="13" customFormat="false" ht="15" hidden="false" customHeight="false" outlineLevel="0" collapsed="false">
      <c r="A13" s="2" t="s">
        <v>233</v>
      </c>
      <c r="B13" s="2" t="s">
        <v>227</v>
      </c>
      <c r="D13" s="9" t="s">
        <v>234</v>
      </c>
      <c r="E13" s="21" t="n">
        <v>3</v>
      </c>
    </row>
    <row r="14" customFormat="false" ht="18" hidden="false" customHeight="true" outlineLevel="0" collapsed="false">
      <c r="A14" s="5" t="s">
        <v>188</v>
      </c>
      <c r="B14" s="19" t="n">
        <f aca="false">COUNTIF('IOC Log'!P5:P28,"OPEN")</f>
        <v>4</v>
      </c>
      <c r="D14" s="4" t="s">
        <v>212</v>
      </c>
      <c r="E14" s="21" t="n">
        <v>1</v>
      </c>
    </row>
    <row r="15" customFormat="false" ht="18" hidden="false" customHeight="true" outlineLevel="0" collapsed="false">
      <c r="A15" s="13" t="s">
        <v>118</v>
      </c>
      <c r="B15" s="19" t="n">
        <f aca="false">COUNTIF('IOC Log'!P5:P28,"ESCALATED")</f>
        <v>4</v>
      </c>
    </row>
    <row r="16" customFormat="false" ht="18" hidden="false" customHeight="true" outlineLevel="0" collapsed="false">
      <c r="A16" s="15" t="s">
        <v>220</v>
      </c>
      <c r="B16" s="19" t="n">
        <f aca="false">COUNTIF('IOC Log'!P5:P28,"MONITORING")</f>
        <v>1</v>
      </c>
    </row>
    <row r="17" customFormat="false" ht="18" hidden="false" customHeight="true" outlineLevel="0" collapsed="false">
      <c r="A17" s="12" t="s">
        <v>235</v>
      </c>
      <c r="B17" s="19" t="n">
        <f aca="false">COUNTIF('IOC Log'!P5:P28,"CONTAINED")</f>
        <v>0</v>
      </c>
    </row>
    <row r="18" customFormat="false" ht="18" hidden="false" customHeight="true" outlineLevel="0" collapsed="false">
      <c r="A18" s="6" t="s">
        <v>32</v>
      </c>
      <c r="B18" s="19" t="n">
        <f aca="false">COUNTIF('IOC Log'!P5:P28,"CLOSED")</f>
        <v>14</v>
      </c>
    </row>
    <row r="19" customFormat="false" ht="18" hidden="false" customHeight="true" outlineLevel="0" collapsed="false">
      <c r="A19" s="14" t="s">
        <v>178</v>
      </c>
      <c r="B19" s="19" t="n">
        <f aca="false">COUNTIF('IOC Log'!P5:P28,"FALSE POSITIVE")</f>
        <v>1</v>
      </c>
    </row>
    <row r="22" customFormat="false" ht="15" hidden="false" customHeight="false" outlineLevel="0" collapsed="false">
      <c r="A22" s="18" t="s">
        <v>236</v>
      </c>
    </row>
    <row r="23" customFormat="false" ht="15" hidden="false" customHeight="false" outlineLevel="0" collapsed="false">
      <c r="A23" s="2" t="s">
        <v>237</v>
      </c>
      <c r="B23" s="2" t="s">
        <v>227</v>
      </c>
      <c r="C23" s="2" t="s">
        <v>238</v>
      </c>
    </row>
    <row r="24" customFormat="false" ht="18" hidden="false" customHeight="true" outlineLevel="0" collapsed="false">
      <c r="A24" s="3" t="s">
        <v>27</v>
      </c>
      <c r="B24" s="3" t="s">
        <v>239</v>
      </c>
      <c r="C24" s="4" t="s">
        <v>240</v>
      </c>
    </row>
    <row r="25" customFormat="false" ht="18" hidden="false" customHeight="true" outlineLevel="0" collapsed="false">
      <c r="A25" s="8" t="s">
        <v>97</v>
      </c>
      <c r="B25" s="8" t="s">
        <v>241</v>
      </c>
      <c r="C25" s="9" t="s">
        <v>242</v>
      </c>
    </row>
    <row r="26" customFormat="false" ht="18" hidden="false" customHeight="true" outlineLevel="0" collapsed="false">
      <c r="A26" s="3" t="s">
        <v>86</v>
      </c>
      <c r="B26" s="3" t="s">
        <v>243</v>
      </c>
      <c r="C26" s="4" t="s">
        <v>244</v>
      </c>
    </row>
    <row r="27" customFormat="false" ht="18" hidden="false" customHeight="true" outlineLevel="0" collapsed="false">
      <c r="A27" s="8" t="s">
        <v>114</v>
      </c>
      <c r="B27" s="8" t="s">
        <v>115</v>
      </c>
      <c r="C27" s="9" t="s">
        <v>245</v>
      </c>
    </row>
    <row r="28" customFormat="false" ht="18" hidden="false" customHeight="true" outlineLevel="0" collapsed="false">
      <c r="A28" s="3" t="s">
        <v>163</v>
      </c>
      <c r="B28" s="3" t="s">
        <v>246</v>
      </c>
      <c r="C28" s="4" t="s">
        <v>247</v>
      </c>
    </row>
    <row r="29" customFormat="false" ht="18" hidden="false" customHeight="true" outlineLevel="0" collapsed="false">
      <c r="A29" s="8" t="s">
        <v>140</v>
      </c>
      <c r="B29" s="8" t="s">
        <v>248</v>
      </c>
      <c r="C29" s="9" t="s">
        <v>198</v>
      </c>
    </row>
    <row r="30" customFormat="false" ht="18" hidden="false" customHeight="true" outlineLevel="0" collapsed="false">
      <c r="A30" s="3" t="s">
        <v>49</v>
      </c>
      <c r="B30" s="3" t="s">
        <v>50</v>
      </c>
      <c r="C30" s="4" t="s">
        <v>249</v>
      </c>
    </row>
    <row r="31" customFormat="false" ht="18" hidden="false" customHeight="true" outlineLevel="0" collapsed="false">
      <c r="A31" s="8" t="s">
        <v>132</v>
      </c>
      <c r="B31" s="8" t="s">
        <v>133</v>
      </c>
      <c r="C31" s="9" t="s">
        <v>250</v>
      </c>
    </row>
    <row r="32" customFormat="false" ht="18" hidden="false" customHeight="true" outlineLevel="0" collapsed="false">
      <c r="A32" s="3" t="s">
        <v>157</v>
      </c>
      <c r="B32" s="3" t="s">
        <v>160</v>
      </c>
      <c r="C32" s="4" t="s">
        <v>251</v>
      </c>
    </row>
  </sheetData>
  <mergeCells count="1">
    <mergeCell ref="A1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22" t="s">
        <v>252</v>
      </c>
      <c r="B1" s="22"/>
      <c r="C1" s="22"/>
      <c r="D1" s="22"/>
      <c r="E1" s="22"/>
      <c r="F1" s="22"/>
      <c r="G1" s="22"/>
    </row>
    <row r="2" customFormat="false" ht="15" hidden="false" customHeight="false" outlineLevel="0" collapsed="false">
      <c r="A2" s="22"/>
      <c r="B2" s="22"/>
      <c r="C2" s="22"/>
      <c r="D2" s="22"/>
      <c r="E2" s="22"/>
      <c r="F2" s="22"/>
      <c r="G2" s="22"/>
    </row>
    <row r="4" customFormat="false" ht="15" hidden="false" customHeight="false" outlineLevel="0" collapsed="false">
      <c r="A4" s="18" t="s">
        <v>253</v>
      </c>
    </row>
    <row r="5" customFormat="false" ht="15" hidden="false" customHeight="false" outlineLevel="0" collapsed="false">
      <c r="A5" s="5" t="s">
        <v>254</v>
      </c>
      <c r="B5" s="5" t="s">
        <v>255</v>
      </c>
      <c r="C5" s="5" t="s">
        <v>256</v>
      </c>
      <c r="D5" s="5" t="s">
        <v>257</v>
      </c>
      <c r="E5" s="5" t="s">
        <v>258</v>
      </c>
    </row>
    <row r="6" customFormat="false" ht="18" hidden="false" customHeight="true" outlineLevel="0" collapsed="false">
      <c r="A6" s="3" t="s">
        <v>110</v>
      </c>
      <c r="B6" s="3" t="s">
        <v>259</v>
      </c>
      <c r="C6" s="3" t="s">
        <v>31</v>
      </c>
      <c r="D6" s="3" t="s">
        <v>260</v>
      </c>
      <c r="E6" s="3" t="s">
        <v>179</v>
      </c>
    </row>
    <row r="7" customFormat="false" ht="18" hidden="false" customHeight="true" outlineLevel="0" collapsed="false">
      <c r="A7" s="8" t="s">
        <v>23</v>
      </c>
      <c r="B7" s="8" t="s">
        <v>261</v>
      </c>
      <c r="C7" s="8" t="s">
        <v>59</v>
      </c>
      <c r="D7" s="8" t="s">
        <v>262</v>
      </c>
      <c r="E7" s="8" t="s">
        <v>179</v>
      </c>
    </row>
    <row r="8" customFormat="false" ht="18" hidden="false" customHeight="true" outlineLevel="0" collapsed="false">
      <c r="A8" s="3" t="s">
        <v>263</v>
      </c>
      <c r="B8" s="3" t="s">
        <v>264</v>
      </c>
      <c r="C8" s="3" t="s">
        <v>59</v>
      </c>
      <c r="D8" s="3" t="s">
        <v>265</v>
      </c>
      <c r="E8" s="3" t="s">
        <v>122</v>
      </c>
    </row>
    <row r="9" customFormat="false" ht="18" hidden="false" customHeight="true" outlineLevel="0" collapsed="false">
      <c r="A9" s="8" t="s">
        <v>266</v>
      </c>
      <c r="B9" s="8" t="s">
        <v>267</v>
      </c>
      <c r="C9" s="8" t="s">
        <v>59</v>
      </c>
      <c r="D9" s="8" t="s">
        <v>268</v>
      </c>
      <c r="E9" s="8" t="s">
        <v>122</v>
      </c>
    </row>
    <row r="10" customFormat="false" ht="18" hidden="false" customHeight="true" outlineLevel="0" collapsed="false">
      <c r="A10" s="3" t="s">
        <v>269</v>
      </c>
      <c r="B10" s="3" t="s">
        <v>270</v>
      </c>
      <c r="C10" s="3" t="s">
        <v>31</v>
      </c>
      <c r="D10" s="3" t="s">
        <v>271</v>
      </c>
      <c r="E10" s="3" t="s">
        <v>122</v>
      </c>
    </row>
    <row r="14" customFormat="false" ht="15" hidden="false" customHeight="false" outlineLevel="0" collapsed="false">
      <c r="A14" s="18" t="s">
        <v>272</v>
      </c>
    </row>
    <row r="15" customFormat="false" ht="15" hidden="false" customHeight="false" outlineLevel="0" collapsed="false">
      <c r="A15" s="2" t="s">
        <v>273</v>
      </c>
      <c r="B15" s="2" t="s">
        <v>255</v>
      </c>
      <c r="C15" s="2" t="s">
        <v>256</v>
      </c>
      <c r="D15" s="2" t="s">
        <v>257</v>
      </c>
      <c r="E15" s="2" t="s">
        <v>274</v>
      </c>
      <c r="F15" s="2" t="s">
        <v>275</v>
      </c>
    </row>
    <row r="16" customFormat="false" ht="18" hidden="false" customHeight="true" outlineLevel="0" collapsed="false">
      <c r="A16" s="3" t="s">
        <v>110</v>
      </c>
      <c r="B16" s="3" t="str">
        <f aca="false">IFERROR(VLOOKUP(A16,$A$6:$E$10,2,FALSE()),"Not Found")</f>
        <v>TOR Node / MCP Exfil C2</v>
      </c>
      <c r="C16" s="3" t="str">
        <f aca="false">IFERROR(VLOOKUP(A16,$A$6:$E$10,3,FALSE()),"Not Found")</f>
        <v>CRITICAL</v>
      </c>
      <c r="D16" s="3" t="str">
        <f aca="false">IFERROR(VLOOKUP(A16,$A$6:$E$10,4,FALSE()),"Not Found")</f>
        <v>soc-ai-era-lab (1,877 records)</v>
      </c>
      <c r="E16" s="23" t="str">
        <f aca="false">IF(ISERROR(VLOOKUP(A16,$A$6:$A$10,1,FALSE())),"CLEAN","MALICIOUS")</f>
        <v>MALICIOUS</v>
      </c>
      <c r="F16" s="3" t="s">
        <v>276</v>
      </c>
    </row>
    <row r="17" customFormat="false" ht="18" hidden="false" customHeight="true" outlineLevel="0" collapsed="false">
      <c r="A17" s="8" t="s">
        <v>23</v>
      </c>
      <c r="B17" s="8" t="str">
        <f aca="false">IFERROR(VLOOKUP(A17,$A$6:$E$10,2,FALSE()),"Not Found")</f>
        <v>Kali Attacker — SSH Brute Force</v>
      </c>
      <c r="C17" s="8" t="str">
        <f aca="false">IFERROR(VLOOKUP(A17,$A$6:$E$10,3,FALSE()),"Not Found")</f>
        <v>HIGH</v>
      </c>
      <c r="D17" s="8" t="str">
        <f aca="false">IFERROR(VLOOKUP(A17,$A$6:$E$10,4,FALSE()),"Not Found")</f>
        <v>Wazuh + Suricata Lab</v>
      </c>
      <c r="E17" s="24" t="str">
        <f aca="false">IF(ISERROR(VLOOKUP(A17,$A$6:$A$10,1,FALSE())),"CLEAN","MALICIOUS")</f>
        <v>MALICIOUS</v>
      </c>
      <c r="F17" s="8" t="s">
        <v>277</v>
      </c>
    </row>
    <row r="18" customFormat="false" ht="18" hidden="false" customHeight="true" outlineLevel="0" collapsed="false">
      <c r="A18" s="3" t="s">
        <v>148</v>
      </c>
      <c r="B18" s="3" t="str">
        <f aca="false">IFERROR(VLOOKUP(A18,$A$6:$E$10,2,FALSE()),"Not Found")</f>
        <v>Not Found</v>
      </c>
      <c r="C18" s="3" t="str">
        <f aca="false">IFERROR(VLOOKUP(A18,$A$6:$E$10,3,FALSE()),"Not Found")</f>
        <v>Not Found</v>
      </c>
      <c r="D18" s="3" t="str">
        <f aca="false">IFERROR(VLOOKUP(A18,$A$6:$E$10,4,FALSE()),"Not Found")</f>
        <v>Not Found</v>
      </c>
      <c r="E18" s="23" t="str">
        <f aca="false">IF(ISERROR(VLOOKUP(A18,$A$6:$A$10,1,FALSE())),"CLEAN","MALICIOUS")</f>
        <v>CLEAN</v>
      </c>
      <c r="F18" s="3" t="s">
        <v>278</v>
      </c>
    </row>
    <row r="19" customFormat="false" ht="18" hidden="false" customHeight="true" outlineLevel="0" collapsed="false">
      <c r="A19" s="8" t="s">
        <v>269</v>
      </c>
      <c r="B19" s="8" t="str">
        <f aca="false">IFERROR(VLOOKUP(A19,$A$6:$E$10,2,FALSE()),"Not Found")</f>
        <v>TOR Exit Node</v>
      </c>
      <c r="C19" s="8" t="str">
        <f aca="false">IFERROR(VLOOKUP(A19,$A$6:$E$10,3,FALSE()),"Not Found")</f>
        <v>CRITICAL</v>
      </c>
      <c r="D19" s="8" t="str">
        <f aca="false">IFERROR(VLOOKUP(A19,$A$6:$E$10,4,FALSE()),"Not Found")</f>
        <v>AbuseIPDB / VirusTotal</v>
      </c>
      <c r="E19" s="24" t="str">
        <f aca="false">IF(ISERROR(VLOOKUP(A19,$A$6:$A$10,1,FALSE())),"CLEAN","MALICIOUS")</f>
        <v>MALICIOUS</v>
      </c>
      <c r="F19" s="8" t="s">
        <v>279</v>
      </c>
    </row>
    <row r="20" customFormat="false" ht="18" hidden="false" customHeight="true" outlineLevel="0" collapsed="false">
      <c r="A20" s="3" t="s">
        <v>280</v>
      </c>
      <c r="B20" s="3" t="str">
        <f aca="false">IFERROR(VLOOKUP(A20,$A$6:$E$10,2,FALSE()),"Not Found")</f>
        <v>Not Found</v>
      </c>
      <c r="C20" s="3" t="str">
        <f aca="false">IFERROR(VLOOKUP(A20,$A$6:$E$10,3,FALSE()),"Not Found")</f>
        <v>Not Found</v>
      </c>
      <c r="D20" s="3" t="str">
        <f aca="false">IFERROR(VLOOKUP(A20,$A$6:$E$10,4,FALSE()),"Not Found")</f>
        <v>Not Found</v>
      </c>
      <c r="E20" s="23" t="str">
        <f aca="false">IF(ISERROR(VLOOKUP(A20,$A$6:$A$10,1,FALSE())),"CLEAN","MALICIOUS")</f>
        <v>CLEAN</v>
      </c>
      <c r="F20" s="3" t="s">
        <v>281</v>
      </c>
    </row>
  </sheetData>
  <mergeCells count="1">
    <mergeCell ref="A1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2026-07-15T06:00:43Z</dcterms:created>
  <dc:creator>openpyxl</dc:creator>
  <dc:description/>
  <dc:language>en-US</dc:language>
  <cp:lastModifiedBy/>
  <dcterms:modified xsi:type="dcterms:W3CDTF">2026-07-15T06:00:43Z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