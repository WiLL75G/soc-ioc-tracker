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OC Log" sheetId="1" state="visible" r:id="rId3"/>
    <sheet name="Pivot Summary" sheetId="2" state="visible" r:id="rId4"/>
    <sheet name="IP Correlati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<sst xmlns="http://schemas.openxmlformats.org/spreadsheetml/2006/main" count="754" uniqueCount="389">
  <si>
    <t xml:space="preserve">SOC ANALYST IOC EVIDENCE TRACKER
William
Real Lab Artifacts  Home Lab Detection Engineering Portfolio</t>
  </si>
  <si>
    <t xml:space="preserve">#</t>
  </si>
  <si>
    <t xml:space="preserve">DATE</t>
  </si>
  <si>
    <t xml:space="preserve">LAB PROJECT</t>
  </si>
  <si>
    <t xml:space="preserve">INCIDENT ID</t>
  </si>
  <si>
    <t xml:space="preserve">IOC TYPE</t>
  </si>
  <si>
    <t xml:space="preserve">IOC VALUE</t>
  </si>
  <si>
    <t xml:space="preserve">SOURCE IP</t>
  </si>
  <si>
    <t xml:space="preserve">DEST IP</t>
  </si>
  <si>
    <t xml:space="preserve">PORT</t>
  </si>
  <si>
    <t xml:space="preserve">PROTOCOL</t>
  </si>
  <si>
    <t xml:space="preserve">MITRE TACTIC</t>
  </si>
  <si>
    <t xml:space="preserve">MITRE ID</t>
  </si>
  <si>
    <t xml:space="preserve">TOOL</t>
  </si>
  <si>
    <t xml:space="preserve">RULE SID EID</t>
  </si>
  <si>
    <t xml:space="preserve">SEVERITY</t>
  </si>
  <si>
    <t xml:space="preserve">STATUS</t>
  </si>
  <si>
    <t xml:space="preserve">FP</t>
  </si>
  <si>
    <t xml:space="preserve">EVIDENCE NOTES</t>
  </si>
  <si>
    <t xml:space="preserve">2024-09-01</t>
  </si>
  <si>
    <t xml:space="preserve">28-Day SOC Foundation</t>
  </si>
  <si>
    <t xml:space="preserve">INC-F01</t>
  </si>
  <si>
    <t xml:space="preserve">Network Scan</t>
  </si>
  <si>
    <t xml:space="preserve">Nmap SYN Scan against home lab</t>
  </si>
  <si>
    <t xml:space="preserve">192.168.1.10</t>
  </si>
  <si>
    <t xml:space="preserve">192.168.1.0/24</t>
  </si>
  <si>
    <t xml:space="preserve">1-1024</t>
  </si>
  <si>
    <t xml:space="preserve">TCP</t>
  </si>
  <si>
    <t xml:space="preserve">Discovery</t>
  </si>
  <si>
    <t xml:space="preserve">T1046</t>
  </si>
  <si>
    <t xml:space="preserve">Nmap</t>
  </si>
  <si>
    <t xml:space="preserve">Nmap scan output</t>
  </si>
  <si>
    <t xml:space="preserve">MEDIUM</t>
  </si>
  <si>
    <t xml:space="preserve">CLOSED</t>
  </si>
  <si>
    <t xml:space="preserve">No</t>
  </si>
  <si>
    <t xml:space="preserve">28-day foundation lab. Nmap SYN scan run against home lab subnet. Ports 22, 80, 443 identified. Output saved to scan report.</t>
  </si>
  <si>
    <t xml:space="preserve">2024-09-05</t>
  </si>
  <si>
    <t xml:space="preserve">INC-F02</t>
  </si>
  <si>
    <t xml:space="preserve">Network Traffic</t>
  </si>
  <si>
    <t xml:space="preserve">Wireshark HTTP traffic capture</t>
  </si>
  <si>
    <t xml:space="preserve">192.168.1.1</t>
  </si>
  <si>
    <t xml:space="preserve">80</t>
  </si>
  <si>
    <t xml:space="preserve">HTTP</t>
  </si>
  <si>
    <t xml:space="preserve">Collection</t>
  </si>
  <si>
    <t xml:space="preserve">T1040</t>
  </si>
  <si>
    <t xml:space="preserve">Wireshark</t>
  </si>
  <si>
    <t xml:space="preserve">Display Filter: http</t>
  </si>
  <si>
    <t xml:space="preserve">LOW</t>
  </si>
  <si>
    <t xml:space="preserve">Cleartext HTTP captured in Wireshark. Credentials visible in packet payload. Foundation lab baseline exercise.</t>
  </si>
  <si>
    <t xml:space="preserve">2024-09-10</t>
  </si>
  <si>
    <t xml:space="preserve">INC-F03</t>
  </si>
  <si>
    <t xml:space="preserve">Brute Force</t>
  </si>
  <si>
    <t xml:space="preserve">SSH brute force on home lab target</t>
  </si>
  <si>
    <t xml:space="preserve">192.168.1.20</t>
  </si>
  <si>
    <t xml:space="preserve">22</t>
  </si>
  <si>
    <t xml:space="preserve">SSH</t>
  </si>
  <si>
    <t xml:space="preserve">Credential Access</t>
  </si>
  <si>
    <t xml:space="preserve">T1110</t>
  </si>
  <si>
    <t xml:space="preserve">Splunk</t>
  </si>
  <si>
    <t xml:space="preserve">EventCode 4625</t>
  </si>
  <si>
    <t xml:space="preserve">HIGH</t>
  </si>
  <si>
    <t xml:space="preserve">SPL: index=main EventCode=4625. Multiple failed logins detected in Splunk dashboard. First brute-force detection in lab environment.</t>
  </si>
  <si>
    <t xml:space="preserve">2024-11-01</t>
  </si>
  <si>
    <t xml:space="preserve">CorpOps Shell Suite</t>
  </si>
  <si>
    <t xml:space="preserve">INC-C01</t>
  </si>
  <si>
    <t xml:space="preserve">Nmap automated detection via Bash script</t>
  </si>
  <si>
    <t xml:space="preserve">ANY</t>
  </si>
  <si>
    <t xml:space="preserve">Bash and Nmap</t>
  </si>
  <si>
    <t xml:space="preserve">CorpOps nmap-detect.sh</t>
  </si>
  <si>
    <t xml:space="preserve">CorpOps-Shell-Suite project. Custom Bash script detected Nmap scan activity. One of 7 shipped Bash automation projects. github.com/WiLL75G/CorpOps-Shell-Suite</t>
  </si>
  <si>
    <t xml:space="preserve">2024-11-10</t>
  </si>
  <si>
    <t xml:space="preserve">INC-C02</t>
  </si>
  <si>
    <t xml:space="preserve">OSINT Recon</t>
  </si>
  <si>
    <t xml:space="preserve">Python OSINT recon script output</t>
  </si>
  <si>
    <t xml:space="preserve">External</t>
  </si>
  <si>
    <t xml:space="preserve">N/A</t>
  </si>
  <si>
    <t xml:space="preserve">Reconnaissance</t>
  </si>
  <si>
    <t xml:space="preserve">T1596</t>
  </si>
  <si>
    <t xml:space="preserve">Python</t>
  </si>
  <si>
    <t xml:space="preserve">CorpOps osint.py</t>
  </si>
  <si>
    <t xml:space="preserve">Python OSINT automation tool from CorpOps-Shell-Suite. Automated public information gathering. Output logged and reviewed.</t>
  </si>
  <si>
    <t xml:space="preserve">2024-10-01</t>
  </si>
  <si>
    <t xml:space="preserve">Forage Commonwealth Bank</t>
  </si>
  <si>
    <t xml:space="preserve">INC-V01</t>
  </si>
  <si>
    <t xml:space="preserve">Fraud Pattern</t>
  </si>
  <si>
    <t xml:space="preserve">Suspicious transactions in Splunk dashboard</t>
  </si>
  <si>
    <t xml:space="preserve">Internal</t>
  </si>
  <si>
    <t xml:space="preserve">T1530</t>
  </si>
  <si>
    <t xml:space="preserve">Custom SPL dashboard</t>
  </si>
  <si>
    <t xml:space="preserve">Commonwealth Bank Forage simulation. Built Splunk fraud detection dashboard. Investigated suspicious transaction patterns. Job simulation not paid employment.</t>
  </si>
  <si>
    <t xml:space="preserve">2024-10-15</t>
  </si>
  <si>
    <t xml:space="preserve">Forage Deloitte Australia</t>
  </si>
  <si>
    <t xml:space="preserve">INC-V02</t>
  </si>
  <si>
    <t xml:space="preserve">Web Log Anomaly</t>
  </si>
  <si>
    <t xml:space="preserve">Suspicious activity in web access logs</t>
  </si>
  <si>
    <t xml:space="preserve">Initial Access</t>
  </si>
  <si>
    <t xml:space="preserve">T1190</t>
  </si>
  <si>
    <t xml:space="preserve">Log Analysis</t>
  </si>
  <si>
    <t xml:space="preserve">Web access log review</t>
  </si>
  <si>
    <t xml:space="preserve">Deloitte Australia Forage simulation. Analysed web logs to identify breach indicators. Produced findings report with recommendations.</t>
  </si>
  <si>
    <t xml:space="preserve">2024-10-20</t>
  </si>
  <si>
    <t xml:space="preserve">Forage Datacom</t>
  </si>
  <si>
    <t xml:space="preserve">INC-V03</t>
  </si>
  <si>
    <t xml:space="preserve">Attack Investigation</t>
  </si>
  <si>
    <t xml:space="preserve">Multi-stage attack identified in logs</t>
  </si>
  <si>
    <t xml:space="preserve">Multiple</t>
  </si>
  <si>
    <t xml:space="preserve">T1059</t>
  </si>
  <si>
    <t xml:space="preserve">Attack investigation report</t>
  </si>
  <si>
    <t xml:space="preserve">CRITICAL</t>
  </si>
  <si>
    <t xml:space="preserve">Datacom Forage simulation. Full attack investigation from logs. Risk assessment completed. Findings and recommendations documented.</t>
  </si>
  <si>
    <t xml:space="preserve">2025-10-01</t>
  </si>
  <si>
    <t xml:space="preserve">Wazuh SSH Brute-Force</t>
  </si>
  <si>
    <t xml:space="preserve">INC-W01</t>
  </si>
  <si>
    <t xml:space="preserve">IP Address</t>
  </si>
  <si>
    <t xml:space="preserve">192.168.64.15</t>
  </si>
  <si>
    <t xml:space="preserve">Ubuntu Agent</t>
  </si>
  <si>
    <t xml:space="preserve">Wazuh SIEM</t>
  </si>
  <si>
    <t xml:space="preserve">Rule 5760 and 40112</t>
  </si>
  <si>
    <t xml:space="preserve">Kali attacker at 192.168.64.15. 88 failed logins then 8 successes. Wazuh rule 40112 fired Level-12 compromise alert. T1110 confirmed.</t>
  </si>
  <si>
    <t xml:space="preserve">Auth Event</t>
  </si>
  <si>
    <t xml:space="preserve">88 Failed and 8 Successful SSH logins</t>
  </si>
  <si>
    <t xml:space="preserve">10.0.0.12</t>
  </si>
  <si>
    <t xml:space="preserve">T1110.001</t>
  </si>
  <si>
    <t xml:space="preserve">Rule 5760</t>
  </si>
  <si>
    <t xml:space="preserve">Rule 5760 fired on repeated auth failures. Escalated to rule 40112 on confirmed compromise. Level-12 alert. Rules 5503, 5763, 5551, 2502 also fired.</t>
  </si>
  <si>
    <t xml:space="preserve">2025-10-05</t>
  </si>
  <si>
    <t xml:space="preserve">ServiceNow ITSM</t>
  </si>
  <si>
    <t xml:space="preserve">INC0010002</t>
  </si>
  <si>
    <t xml:space="preserve">Incident Ticket</t>
  </si>
  <si>
    <t xml:space="preserve">Priority 2 incident lifecycle on ServiceNow PDI</t>
  </si>
  <si>
    <t xml:space="preserve">ServiceNow</t>
  </si>
  <si>
    <t xml:space="preserve">Full incident lifecycle: New to In Progress to Resolved to Closed on live ServiceNow PDI. Impact x Urgency = Priority 2. Auto SLA tracking confirmed. SLA breach documented honestly.</t>
  </si>
  <si>
    <t xml:space="preserve">2025-10-14</t>
  </si>
  <si>
    <t xml:space="preserve">Suricata Custom Rules</t>
  </si>
  <si>
    <t xml:space="preserve">INC-S01</t>
  </si>
  <si>
    <t xml:space="preserve">TCP SYN Port Scan</t>
  </si>
  <si>
    <t xml:space="preserve">192.168.64.0/24</t>
  </si>
  <si>
    <t xml:space="preserve">1-65535</t>
  </si>
  <si>
    <t xml:space="preserve">Suricata IDS</t>
  </si>
  <si>
    <t xml:space="preserve">sid 1000001</t>
  </si>
  <si>
    <t xml:space="preserve">Custom Suricata rule sid 1000001 fired on live Kali port scan. Confirmed via fast.log and eve.json. Written from scratch.</t>
  </si>
  <si>
    <t xml:space="preserve">INC-S02</t>
  </si>
  <si>
    <t xml:space="preserve">SSH Brute Force Traffic</t>
  </si>
  <si>
    <t xml:space="preserve">192.168.64.10</t>
  </si>
  <si>
    <t xml:space="preserve">sid 1000002</t>
  </si>
  <si>
    <t xml:space="preserve">Custom rule sid 1000002 triggered on SSH brute-force from Kali. Same attack Wazuh caught host-side. Network-side confirmation = defense in depth.</t>
  </si>
  <si>
    <t xml:space="preserve">2025-11-02</t>
  </si>
  <si>
    <t xml:space="preserve">Wireshark PCAP Analysis</t>
  </si>
  <si>
    <t xml:space="preserve">INC-P01</t>
  </si>
  <si>
    <t xml:space="preserve">TCP SYN Scan Pattern</t>
  </si>
  <si>
    <t xml:space="preserve">192.168.64.1</t>
  </si>
  <si>
    <t xml:space="preserve">tcp.flags.syn==1</t>
  </si>
  <si>
    <t xml:space="preserve">PCAP Scenario 1. TCP SYN port scan. Half-open connections, no ACK completion. Nmap stealth scan signature confirmed.</t>
  </si>
  <si>
    <t xml:space="preserve">INC-P02</t>
  </si>
  <si>
    <t xml:space="preserve">SSH Login Burst 200 plus attempts</t>
  </si>
  <si>
    <t xml:space="preserve">tcp.port==22</t>
  </si>
  <si>
    <t xml:space="preserve">PCAP Scenario 2. SSH brute-force traffic. High-frequency SYN to port 22. Rapid RST on failed auth.</t>
  </si>
  <si>
    <t xml:space="preserve">INC-P03</t>
  </si>
  <si>
    <t xml:space="preserve">Credential Exposure</t>
  </si>
  <si>
    <t xml:space="preserve">FTP Credentials in Cleartext</t>
  </si>
  <si>
    <t xml:space="preserve">21</t>
  </si>
  <si>
    <t xml:space="preserve">FTP</t>
  </si>
  <si>
    <t xml:space="preserve">T1552.001</t>
  </si>
  <si>
    <t xml:space="preserve">ftp contains USER</t>
  </si>
  <si>
    <t xml:space="preserve">PCAP Scenario 3. FTP credentials in plaintext. Username and password captured via Follow TCP Stream. T1552.001.</t>
  </si>
  <si>
    <t xml:space="preserve">INC-P04</t>
  </si>
  <si>
    <t xml:space="preserve">DNS Exfiltration</t>
  </si>
  <si>
    <t xml:space="preserve">Encoded data in DNS TXT queries</t>
  </si>
  <si>
    <t xml:space="preserve">8.8.8.8</t>
  </si>
  <si>
    <t xml:space="preserve">53</t>
  </si>
  <si>
    <t xml:space="preserve">DNS</t>
  </si>
  <si>
    <t xml:space="preserve">Exfiltration</t>
  </si>
  <si>
    <t xml:space="preserve">T1048.003</t>
  </si>
  <si>
    <t xml:space="preserve">dns.qry.type==16</t>
  </si>
  <si>
    <t xml:space="preserve">PCAP Scenario 4. Anomalous DNS TXT record queries. Encoded payload in subdomain labels. DNS tunnelling pattern confirmed.</t>
  </si>
  <si>
    <t xml:space="preserve">2025-11-15</t>
  </si>
  <si>
    <t xml:space="preserve">PowerShell Forensics</t>
  </si>
  <si>
    <t xml:space="preserve">INC-PS01</t>
  </si>
  <si>
    <t xml:space="preserve">Malicious Script</t>
  </si>
  <si>
    <t xml:space="preserve">Base64 encoded PowerShell payload</t>
  </si>
  <si>
    <t xml:space="preserve">JAMES-VM</t>
  </si>
  <si>
    <t xml:space="preserve">Execution</t>
  </si>
  <si>
    <t xml:space="preserve">T1059.001</t>
  </si>
  <si>
    <t xml:space="preserve">Sysmon and Defender</t>
  </si>
  <si>
    <t xml:space="preserve">Sysmon EID 4104</t>
  </si>
  <si>
    <t xml:space="preserve">Sysmon EID 4104 Script Block Logging captured obfuscated base64 on JAMES-VM. Decoded via System.Text.Encoding. Download cradle recovered in plaintext.</t>
  </si>
  <si>
    <t xml:space="preserve">INC-PS02</t>
  </si>
  <si>
    <t xml:space="preserve">Process Creation</t>
  </si>
  <si>
    <t xml:space="preserve">powershell.exe EncodedCommand</t>
  </si>
  <si>
    <t xml:space="preserve">Sysmon</t>
  </si>
  <si>
    <t xml:space="preserve">Sysmon EID 1</t>
  </si>
  <si>
    <t xml:space="preserve">Sysmon EID 1 Process Creation logged powershell.exe with EncodedCommand flag. Parent process and full command line recovered.</t>
  </si>
  <si>
    <t xml:space="preserve">2025-12-01</t>
  </si>
  <si>
    <t xml:space="preserve">soc-ai-era-detection-lab</t>
  </si>
  <si>
    <t xml:space="preserve">INC-AI01</t>
  </si>
  <si>
    <t xml:space="preserve">185.220.101.34</t>
  </si>
  <si>
    <t xml:space="preserve">AI Orchestration Layer</t>
  </si>
  <si>
    <t xml:space="preserve">443</t>
  </si>
  <si>
    <t xml:space="preserve">HTTPS</t>
  </si>
  <si>
    <t xml:space="preserve">Command and Control</t>
  </si>
  <si>
    <t xml:space="preserve">TA0011</t>
  </si>
  <si>
    <t xml:space="preserve">Splunk and Custom</t>
  </si>
  <si>
    <t xml:space="preserve">Custom Sigma Rule</t>
  </si>
  <si>
    <t xml:space="preserve">ESCALATED</t>
  </si>
  <si>
    <t xml:space="preserve">TOR-affiliated IP. 1877 records exfiltrated via MCP tool abuse. Confirmed across 4-day NHI abuse and prompt injection correlation.</t>
  </si>
  <si>
    <t xml:space="preserve">Exfiltration Event</t>
  </si>
  <si>
    <t xml:space="preserve">1877 records exfiltrated via MCP</t>
  </si>
  <si>
    <t xml:space="preserve">TA0010</t>
  </si>
  <si>
    <t xml:space="preserve">Custom Detection</t>
  </si>
  <si>
    <t xml:space="preserve">Sigma MCP Exfil Rule</t>
  </si>
  <si>
    <t xml:space="preserve">MCP tool abuse chain: prompt injection then NHI token hijack then data exfiltration. 1877 records to 185.220.101.34 over 4 days.</t>
  </si>
  <si>
    <t xml:space="preserve">INC-AI02</t>
  </si>
  <si>
    <t xml:space="preserve">Prompt Injection</t>
  </si>
  <si>
    <t xml:space="preserve">Malicious prompt in MCP tool call</t>
  </si>
  <si>
    <t xml:space="preserve">Internal Agent</t>
  </si>
  <si>
    <t xml:space="preserve">AI Backend</t>
  </si>
  <si>
    <t xml:space="preserve">Custom LLM Monitor</t>
  </si>
  <si>
    <t xml:space="preserve">Sigma Prompt Injection Rule</t>
  </si>
  <si>
    <t xml:space="preserve">Prompt injection in MCP tool call payload caused LLM to bypass intended behaviour. Correlated with NHI abuse and downstream exfiltration to 185.220.101.34.</t>
  </si>
  <si>
    <t xml:space="preserve">INC-AI03</t>
  </si>
  <si>
    <t xml:space="preserve">NHI Abuse</t>
  </si>
  <si>
    <t xml:space="preserve">Non-Human Identity token hijack</t>
  </si>
  <si>
    <t xml:space="preserve">Internal Service</t>
  </si>
  <si>
    <t xml:space="preserve">Privilege Escalation</t>
  </si>
  <si>
    <t xml:space="preserve">TA0004</t>
  </si>
  <si>
    <t xml:space="preserve">Sigma NHI Abuse Rule</t>
  </si>
  <si>
    <t xml:space="preserve">Service account NHI token abused post-prompt-injection. Token used to authenticate outbound MCP calls. Full 4-day chain documented.</t>
  </si>
  <si>
    <t xml:space="preserve">2025-10-20</t>
  </si>
  <si>
    <t xml:space="preserve">Splunk SIEM Lab</t>
  </si>
  <si>
    <t xml:space="preserve">INC-SP01</t>
  </si>
  <si>
    <t xml:space="preserve">Multiple failed logins EventCode 4625</t>
  </si>
  <si>
    <t xml:space="preserve">10.0.0.55</t>
  </si>
  <si>
    <t xml:space="preserve">Windows Host</t>
  </si>
  <si>
    <t xml:space="preserve">Splunk SPL: index=main EventCode=4625 | stats count by src_ip. 200 plus failures in 5 min. Correlated with EventCode 4624 on success.</t>
  </si>
  <si>
    <t xml:space="preserve">INC-SP02</t>
  </si>
  <si>
    <t xml:space="preserve">cmd.exe spawn spike EventCode 4688</t>
  </si>
  <si>
    <t xml:space="preserve">T1059.003</t>
  </si>
  <si>
    <t xml:space="preserve">EventCode 4688</t>
  </si>
  <si>
    <t xml:space="preserve">cmd.exe process creation spike via EventCode 4688. Timechart showed anomalous burst. Stage 2 of 4-stage attack chain demo delivered to Julian.</t>
  </si>
  <si>
    <t xml:space="preserve">INC-SP03</t>
  </si>
  <si>
    <t xml:space="preserve">Lateral Movement</t>
  </si>
  <si>
    <t xml:space="preserve">WMI remote execution via NetExec</t>
  </si>
  <si>
    <t xml:space="preserve">WMI</t>
  </si>
  <si>
    <t xml:space="preserve">T1021.006</t>
  </si>
  <si>
    <t xml:space="preserve">EventCode 4624 LogonType 3</t>
  </si>
  <si>
    <t xml:space="preserve">WMI remote execution post-breach. NetExec lateral movement. EventCode 4624 LogonType 3 correlated with WMI service calls.</t>
  </si>
  <si>
    <t xml:space="preserve">INC-SP04</t>
  </si>
  <si>
    <t xml:space="preserve">Persistence</t>
  </si>
  <si>
    <t xml:space="preserve">Service installation EventCode 7045</t>
  </si>
  <si>
    <t xml:space="preserve">TA0003</t>
  </si>
  <si>
    <t xml:space="preserve">EventCode 7045</t>
  </si>
  <si>
    <t xml:space="preserve">Malicious service installed post-lateral movement. EventCode 7045 in Splunk. Stage 4 of full 4-stage attack chain. Demonstrated live to Julian.</t>
  </si>
  <si>
    <t xml:space="preserve">2025-11-20</t>
  </si>
  <si>
    <t xml:space="preserve">SigmaHQ Issue 6056</t>
  </si>
  <si>
    <t xml:space="preserve">INC-SG01</t>
  </si>
  <si>
    <t xml:space="preserve">False Positive</t>
  </si>
  <si>
    <t xml:space="preserve">Legit Azure traffic flagged as T1071.001</t>
  </si>
  <si>
    <t xml:space="preserve">Azure Endpoint</t>
  </si>
  <si>
    <t xml:space="preserve">10.0.0.0/8</t>
  </si>
  <si>
    <t xml:space="preserve">T1071.001</t>
  </si>
  <si>
    <t xml:space="preserve">Sysmon EID 3</t>
  </si>
  <si>
    <t xml:space="preserve">FALSE POSITIVE</t>
  </si>
  <si>
    <t xml:space="preserve">Yes</t>
  </si>
  <si>
    <t xml:space="preserve">SigmaHQ Issue 6056 filed. Sysmon EID 3 rule generating FP on legitimate Azure traffic outside hardcoded filter_main_msrange. Validated against real telemetry.</t>
  </si>
  <si>
    <t xml:space="preserve">SigmaHQ Issue 6057</t>
  </si>
  <si>
    <t xml:space="preserve">INC-SG02</t>
  </si>
  <si>
    <t xml:space="preserve">Coverage Gap</t>
  </si>
  <si>
    <t xml:space="preserve">ADSI WinNT local user creation not covered</t>
  </si>
  <si>
    <t xml:space="preserve">T1136.001</t>
  </si>
  <si>
    <t xml:space="preserve">Windows and Sysmon</t>
  </si>
  <si>
    <t xml:space="preserve">EID 4104 and Win 4720</t>
  </si>
  <si>
    <t xml:space="preserve">OPEN</t>
  </si>
  <si>
    <t xml:space="preserve">SigmaHQ Issue 6057 filed. T1136.001 local user creation via ADSI WinNT not covered by existing Sigma rules. Validated with EID 4104 script block logs. PR 6064 by community contributor raylee-hawkins not William.</t>
  </si>
  <si>
    <t xml:space="preserve">2025-12-10</t>
  </si>
  <si>
    <t xml:space="preserve">AWS CloudTrail Lab</t>
  </si>
  <si>
    <t xml:space="preserve">INC-AWS01</t>
  </si>
  <si>
    <t xml:space="preserve">IAM Abuse</t>
  </si>
  <si>
    <t xml:space="preserve">Unusual AssumeRole API call</t>
  </si>
  <si>
    <t xml:space="preserve">AWS IAM</t>
  </si>
  <si>
    <t xml:space="preserve">corpops-cloudtrail-logs-2026</t>
  </si>
  <si>
    <t xml:space="preserve">T1078.004</t>
  </si>
  <si>
    <t xml:space="preserve">AWS CloudTrail</t>
  </si>
  <si>
    <t xml:space="preserve">AssumeRole event</t>
  </si>
  <si>
    <t xml:space="preserve">Trail: corpops-soc-trail. Bucket: corpops-cloudtrail-logs-2026. Region: us-east-1. Anomalous AssumeRole from unknown principal. T1078.004.</t>
  </si>
  <si>
    <t xml:space="preserve">INC-AWS02</t>
  </si>
  <si>
    <t xml:space="preserve">Account Creation</t>
  </si>
  <si>
    <t xml:space="preserve">CreateUser API call outside change window</t>
  </si>
  <si>
    <t xml:space="preserve">us-east-1</t>
  </si>
  <si>
    <t xml:space="preserve">CreateUser API event</t>
  </si>
  <si>
    <t xml:space="preserve">CloudTrail CreateUser event outside approved change window. T1136.001 Create Account. Mapped via MITRE ATT&amp;CK Cloud matrix.</t>
  </si>
  <si>
    <t xml:space="preserve">INC-AWS03</t>
  </si>
  <si>
    <t xml:space="preserve">Permission Abuse</t>
  </si>
  <si>
    <t xml:space="preserve">AttachUserPolicy admin policy attached</t>
  </si>
  <si>
    <t xml:space="preserve">T1098</t>
  </si>
  <si>
    <t xml:space="preserve">AttachUserPolicy event</t>
  </si>
  <si>
    <t xml:space="preserve">AdministratorAccess policy attached to newly created IAM user. T1098 Account Manipulation. Trail: corpops-soc-trail confirmed.</t>
  </si>
  <si>
    <t xml:space="preserve">2025-12-05</t>
  </si>
  <si>
    <t xml:space="preserve">Microsoft Sentinel Lab</t>
  </si>
  <si>
    <t xml:space="preserve">INC-SEN01</t>
  </si>
  <si>
    <t xml:space="preserve">Threat Hunt</t>
  </si>
  <si>
    <t xml:space="preserve">KQL anomalous signin detection</t>
  </si>
  <si>
    <t xml:space="preserve">Azure AD</t>
  </si>
  <si>
    <t xml:space="preserve">Sentinel Workspace</t>
  </si>
  <si>
    <t xml:space="preserve">Microsoft Sentinel</t>
  </si>
  <si>
    <t xml:space="preserve">KQL Analytics Rule</t>
  </si>
  <si>
    <t xml:space="preserve">MONITORING</t>
  </si>
  <si>
    <t xml:space="preserve">KQL: SecurityEvent | where EventID == 4625 | summarize count() by Account, IPAddress. Anomalous signin from unexpected geography. Day 5 of sentinel-soc-lab-setup.</t>
  </si>
  <si>
    <t xml:space="preserve">2025-12-06</t>
  </si>
  <si>
    <t xml:space="preserve">INC-SEN02</t>
  </si>
  <si>
    <t xml:space="preserve">Malicious PowerShell via KQL hunt</t>
  </si>
  <si>
    <t xml:space="preserve">KQL and Sysmon EID 4104</t>
  </si>
  <si>
    <t xml:space="preserve">Day 6 sentinel sprint. KQL hunt for malicious PowerShell on Windows 11 endpoint via Arc AMA DCR ingestion. EventID 4688 and 4104 correlated.</t>
  </si>
  <si>
    <t xml:space="preserve">2026-01-15</t>
  </si>
  <si>
    <t xml:space="preserve">linux-triage-toolkit</t>
  </si>
  <si>
    <t xml:space="preserve">INC-LT01</t>
  </si>
  <si>
    <t xml:space="preserve">Suspicious cron job in crontab</t>
  </si>
  <si>
    <t xml:space="preserve">Linux Host</t>
  </si>
  <si>
    <t xml:space="preserve">Bash and linux-triage-toolkit</t>
  </si>
  <si>
    <t xml:space="preserve">Module 05 persistence.sh</t>
  </si>
  <si>
    <t xml:space="preserve">linux-triage-toolkit module 05 persistence check. Automated cron job review shipped as part of Sunday cadence DFIR toolkit. github.com/WiLL75G/linux-triage-toolkit</t>
  </si>
  <si>
    <t xml:space="preserve">INC-LT02</t>
  </si>
  <si>
    <t xml:space="preserve">Unusual Process</t>
  </si>
  <si>
    <t xml:space="preserve">Unexpected process in running process list</t>
  </si>
  <si>
    <t xml:space="preserve">Module 03 processes.sh</t>
  </si>
  <si>
    <t xml:space="preserve">linux-triage-toolkit module 03 process enumeration. Automated running process snapshot for baseline and anomaly review.</t>
  </si>
  <si>
    <t xml:space="preserve">TOTAL IOCs LOGGED  36</t>
  </si>
  <si>
    <t xml:space="preserve">INCIDENT PIVOT SUMMARY  Real Lab Evidence</t>
  </si>
  <si>
    <t xml:space="preserve">SEVERITY BREAKDOWN</t>
  </si>
  <si>
    <t xml:space="preserve">LAB PROJECT COVERAGE</t>
  </si>
  <si>
    <t xml:space="preserve">Severity</t>
  </si>
  <si>
    <t xml:space="preserve">Count</t>
  </si>
  <si>
    <t xml:space="preserve">Percent of Total</t>
  </si>
  <si>
    <t xml:space="preserve">Lab Project</t>
  </si>
  <si>
    <t xml:space="preserve">IOC Count</t>
  </si>
  <si>
    <t xml:space="preserve">Forage Simulations</t>
  </si>
  <si>
    <t xml:space="preserve">STATUS BREAKDOWN</t>
  </si>
  <si>
    <t xml:space="preserve">Status</t>
  </si>
  <si>
    <t xml:space="preserve">SigmaHQ Contributions</t>
  </si>
  <si>
    <t xml:space="preserve">CONTAINED</t>
  </si>
  <si>
    <t xml:space="preserve">PAUSED</t>
  </si>
  <si>
    <t xml:space="preserve">MITRE TACTIC BREAKDOWN</t>
  </si>
  <si>
    <t xml:space="preserve">MITRE Tactic</t>
  </si>
  <si>
    <t xml:space="preserve">Lab Source</t>
  </si>
  <si>
    <t xml:space="preserve">Nmap, Suricata, Wireshark, CorpOps</t>
  </si>
  <si>
    <t xml:space="preserve">T1110 and T1552</t>
  </si>
  <si>
    <t xml:space="preserve">Wazuh, Suricata, Splunk, Wireshark</t>
  </si>
  <si>
    <t xml:space="preserve">T1059.001 and T1059.003</t>
  </si>
  <si>
    <t xml:space="preserve">PowerShell Forensics, Splunk, Sentinel</t>
  </si>
  <si>
    <t xml:space="preserve">TA0010 and T1048.003</t>
  </si>
  <si>
    <t xml:space="preserve">soc-ai-era-lab, Wireshark PCAP</t>
  </si>
  <si>
    <t xml:space="preserve">soc-ai-era-lab, SigmaHQ Issue 6056</t>
  </si>
  <si>
    <t xml:space="preserve">TA0003 and T1136.001</t>
  </si>
  <si>
    <t xml:space="preserve">Splunk, AWS CloudTrail, SigmaHQ, linux-triage-toolkit</t>
  </si>
  <si>
    <t xml:space="preserve">T1078.004 and T1098</t>
  </si>
  <si>
    <t xml:space="preserve">AWS CloudTrail, soc-ai-era-lab</t>
  </si>
  <si>
    <t xml:space="preserve">soc-ai-era-lab, Sentinel, Forage Deloitte</t>
  </si>
  <si>
    <t xml:space="preserve">Splunk 4-stage attack chain</t>
  </si>
  <si>
    <t xml:space="preserve">T1040 and T1530</t>
  </si>
  <si>
    <t xml:space="preserve">28-day foundation, Forage Commonwealth Bank</t>
  </si>
  <si>
    <t xml:space="preserve">CorpOps Python OSINT</t>
  </si>
  <si>
    <t xml:space="preserve">IP CORRELATION  VLOOKUP Threat Intel Cross Reference  Real Lab IOCs</t>
  </si>
  <si>
    <t xml:space="preserve">THREAT INTELLIGENCE REFERENCE TABLE</t>
  </si>
  <si>
    <t xml:space="preserve">IP or Indicator</t>
  </si>
  <si>
    <t xml:space="preserve">Threat Type</t>
  </si>
  <si>
    <t xml:space="preserve">Confidence</t>
  </si>
  <si>
    <t xml:space="preserve">Intel Source</t>
  </si>
  <si>
    <t xml:space="preserve">Lab Confirmed</t>
  </si>
  <si>
    <t xml:space="preserve">TOR Node MCP Exfil C2</t>
  </si>
  <si>
    <t xml:space="preserve">soc-ai-era-lab 1877 records</t>
  </si>
  <si>
    <t xml:space="preserve">Kali Attacker SSH Brute Force</t>
  </si>
  <si>
    <t xml:space="preserve">Wazuh and Suricata Lab</t>
  </si>
  <si>
    <t xml:space="preserve">203.0.113.99</t>
  </si>
  <si>
    <t xml:space="preserve">SSH Brute Force</t>
  </si>
  <si>
    <t xml:space="preserve">AlienVault OTX</t>
  </si>
  <si>
    <t xml:space="preserve">malware-cdn.ru</t>
  </si>
  <si>
    <t xml:space="preserve">C2 Domain</t>
  </si>
  <si>
    <t xml:space="preserve">AbuseIPDB</t>
  </si>
  <si>
    <t xml:space="preserve">185.220.101.45</t>
  </si>
  <si>
    <t xml:space="preserve">TOR Exit Node</t>
  </si>
  <si>
    <t xml:space="preserve">AbuseIPDB and VirusTotal</t>
  </si>
  <si>
    <t xml:space="preserve">VLOOKUP  CHECK OBSERVED IP AGAINST THREAT INTEL</t>
  </si>
  <si>
    <t xml:space="preserve">Observed IP</t>
  </si>
  <si>
    <t xml:space="preserve">MATCH RESULT</t>
  </si>
  <si>
    <t xml:space="preserve">Lab</t>
  </si>
  <si>
    <t xml:space="preserve">soc-ai-era-lab</t>
  </si>
  <si>
    <t xml:space="preserve">Wazuh and Suricata</t>
  </si>
  <si>
    <t xml:space="preserve">Splunk Lab</t>
  </si>
  <si>
    <t xml:space="preserve">External TI</t>
  </si>
  <si>
    <t xml:space="preserve">172.16.0.5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</si>
</sst>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111111"/>
      <name val="Arial"/>
      <family val="0"/>
      <charset val="1"/>
    </font>
    <font>
      <sz val="8"/>
      <color rgb="FF111111"/>
      <name val="Arial"/>
      <family val="0"/>
      <charset val="1"/>
    </font>
    <font>
      <b val="true"/>
      <sz val="11"/>
      <color rgb="FF0D1B2A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"/>
      <color rgb="FF0D1B2A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D1B2A"/>
        <bgColor rgb="FF111111"/>
      </patternFill>
    </fill>
    <fill>
      <patternFill patternType="solid">
        <fgColor rgb="FFF2F4F7"/>
        <bgColor rgb="FFFFFFFF"/>
      </patternFill>
    </fill>
    <fill>
      <patternFill patternType="solid">
        <fgColor rgb="FFF39C12"/>
        <bgColor rgb="FFE67E22"/>
      </patternFill>
    </fill>
    <fill>
      <patternFill patternType="solid">
        <fgColor rgb="FF27AE60"/>
        <bgColor rgb="FF1ABC9C"/>
      </patternFill>
    </fill>
    <fill>
      <patternFill patternType="solid">
        <fgColor rgb="FFFFFFFF"/>
        <bgColor rgb="FFF2F4F7"/>
      </patternFill>
    </fill>
    <fill>
      <patternFill patternType="solid">
        <fgColor rgb="FFE67E22"/>
        <bgColor rgb="FFF39C12"/>
      </patternFill>
    </fill>
    <fill>
      <patternFill patternType="solid">
        <fgColor rgb="FFC0392B"/>
        <bgColor rgb="FF993366"/>
      </patternFill>
    </fill>
    <fill>
      <patternFill patternType="solid">
        <fgColor rgb="FF1A5276"/>
        <bgColor rgb="FF333399"/>
      </patternFill>
    </fill>
    <fill>
      <patternFill patternType="solid">
        <fgColor rgb="FF117A65"/>
        <bgColor rgb="FF008080"/>
      </patternFill>
    </fill>
    <fill>
      <patternFill patternType="solid">
        <fgColor rgb="FF8E44AD"/>
        <bgColor rgb="FF993366"/>
      </patternFill>
    </fill>
    <fill>
      <patternFill patternType="solid">
        <fgColor rgb="FF1ABC9C"/>
        <bgColor rgb="FF27AE60"/>
      </patternFill>
    </fill>
    <fill>
      <patternFill patternType="solid">
        <fgColor rgb="FF5D6D7E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/>
      <top style="thin">
        <color rgb="FFD5D8DC"/>
      </top>
      <bottom style="thin">
        <color rgb="FFD5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17A65"/>
      <rgbColor rgb="FFC0C0C0"/>
      <rgbColor rgb="FF808080"/>
      <rgbColor rgb="FF9999FF"/>
      <rgbColor rgb="FF8E44AD"/>
      <rgbColor rgb="FFF2F4F7"/>
      <rgbColor rgb="FFCCFFFF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1ABC9C"/>
      <rgbColor rgb="FF99CC00"/>
      <rgbColor rgb="FFFFCC00"/>
      <rgbColor rgb="FFF39C12"/>
      <rgbColor rgb="FFE67E22"/>
      <rgbColor rgb="FF5D6D7E"/>
      <rgbColor rgb="FF969696"/>
      <rgbColor rgb="FF1A5276"/>
      <rgbColor rgb="FF27AE60"/>
      <rgbColor rgb="FF0D1B2A"/>
      <rgbColor rgb="FF111111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7"/>
    <col collapsed="false" customWidth="true" hidden="false" outlineLevel="0" max="10" min="10" style="0" width="10"/>
    <col collapsed="false" customWidth="true" hidden="false" outlineLevel="0" max="11" min="11" style="0" width="20"/>
    <col collapsed="false" customWidth="true" hidden="false" outlineLevel="0" max="12" min="12" style="0" width="12"/>
    <col collapsed="false" customWidth="true" hidden="false" outlineLevel="0" max="13" min="13" style="0" width="15"/>
    <col collapsed="false" customWidth="true" hidden="false" outlineLevel="0" max="14" min="14" style="0" width="17"/>
    <col collapsed="false" customWidth="true" hidden="false" outlineLevel="0" max="15" min="15" style="0" width="11"/>
    <col collapsed="false" customWidth="true" hidden="false" outlineLevel="0" max="16" min="16" style="0" width="15"/>
    <col collapsed="false" customWidth="true" hidden="false" outlineLevel="0" max="17" min="17" style="0" width="5"/>
    <col collapsed="false" customWidth="true" hidden="false" outlineLevel="0" max="18" min="18" style="0" width="40"/>
  </cols>
  <sheetData>
    <row r="1" customFormat="false" ht="5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false" ht="30" hidden="false" customHeight="true" outlineLevel="0" collapsed="false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10</v>
      </c>
      <c r="K4" s="2" t="s">
        <v>11</v>
      </c>
      <c r="L4" s="2" t="s">
        <v>12</v>
      </c>
      <c r="M4" s="2" t="s">
        <v>13</v>
      </c>
      <c r="N4" s="2" t="s">
        <v>14</v>
      </c>
      <c r="O4" s="2" t="s">
        <v>15</v>
      </c>
      <c r="P4" s="2" t="s">
        <v>16</v>
      </c>
      <c r="Q4" s="2" t="s">
        <v>17</v>
      </c>
      <c r="R4" s="2" t="s">
        <v>18</v>
      </c>
    </row>
    <row r="5" customFormat="false" ht="36" hidden="false" customHeight="true" outlineLevel="0" collapsed="false">
      <c r="A5" s="2" t="n">
        <v>1</v>
      </c>
      <c r="B5" s="3" t="s">
        <v>19</v>
      </c>
      <c r="C5" s="3" t="s">
        <v>20</v>
      </c>
      <c r="D5" s="3" t="s">
        <v>21</v>
      </c>
      <c r="E5" s="3" t="s">
        <v>22</v>
      </c>
      <c r="F5" s="3" t="s">
        <v>23</v>
      </c>
      <c r="G5" s="3" t="s">
        <v>24</v>
      </c>
      <c r="H5" s="3" t="s">
        <v>25</v>
      </c>
      <c r="I5" s="3" t="s">
        <v>26</v>
      </c>
      <c r="J5" s="3" t="s">
        <v>27</v>
      </c>
      <c r="K5" s="3" t="s">
        <v>28</v>
      </c>
      <c r="L5" s="3" t="s">
        <v>29</v>
      </c>
      <c r="M5" s="3" t="s">
        <v>30</v>
      </c>
      <c r="N5" s="3" t="s">
        <v>31</v>
      </c>
      <c r="O5" s="4" t="s">
        <v>32</v>
      </c>
      <c r="P5" s="5" t="s">
        <v>33</v>
      </c>
      <c r="Q5" s="3" t="s">
        <v>34</v>
      </c>
      <c r="R5" s="6" t="s">
        <v>35</v>
      </c>
    </row>
    <row r="6" customFormat="false" ht="36" hidden="false" customHeight="true" outlineLevel="0" collapsed="false">
      <c r="A6" s="2" t="n">
        <v>2</v>
      </c>
      <c r="B6" s="7" t="s">
        <v>36</v>
      </c>
      <c r="C6" s="7" t="s">
        <v>20</v>
      </c>
      <c r="D6" s="7" t="s">
        <v>37</v>
      </c>
      <c r="E6" s="7" t="s">
        <v>38</v>
      </c>
      <c r="F6" s="7" t="s">
        <v>39</v>
      </c>
      <c r="G6" s="7" t="s">
        <v>24</v>
      </c>
      <c r="H6" s="7" t="s">
        <v>40</v>
      </c>
      <c r="I6" s="7" t="s">
        <v>41</v>
      </c>
      <c r="J6" s="7" t="s">
        <v>42</v>
      </c>
      <c r="K6" s="7" t="s">
        <v>43</v>
      </c>
      <c r="L6" s="7" t="s">
        <v>44</v>
      </c>
      <c r="M6" s="7" t="s">
        <v>45</v>
      </c>
      <c r="N6" s="7" t="s">
        <v>46</v>
      </c>
      <c r="O6" s="5" t="s">
        <v>47</v>
      </c>
      <c r="P6" s="5" t="s">
        <v>33</v>
      </c>
      <c r="Q6" s="7" t="s">
        <v>34</v>
      </c>
      <c r="R6" s="8" t="s">
        <v>48</v>
      </c>
    </row>
    <row r="7" customFormat="false" ht="36" hidden="false" customHeight="true" outlineLevel="0" collapsed="false">
      <c r="A7" s="2" t="n">
        <v>3</v>
      </c>
      <c r="B7" s="3" t="s">
        <v>49</v>
      </c>
      <c r="C7" s="3" t="s">
        <v>20</v>
      </c>
      <c r="D7" s="3" t="s">
        <v>50</v>
      </c>
      <c r="E7" s="3" t="s">
        <v>51</v>
      </c>
      <c r="F7" s="3" t="s">
        <v>52</v>
      </c>
      <c r="G7" s="3" t="s">
        <v>24</v>
      </c>
      <c r="H7" s="3" t="s">
        <v>53</v>
      </c>
      <c r="I7" s="3" t="s">
        <v>54</v>
      </c>
      <c r="J7" s="3" t="s">
        <v>55</v>
      </c>
      <c r="K7" s="3" t="s">
        <v>56</v>
      </c>
      <c r="L7" s="3" t="s">
        <v>57</v>
      </c>
      <c r="M7" s="3" t="s">
        <v>58</v>
      </c>
      <c r="N7" s="3" t="s">
        <v>59</v>
      </c>
      <c r="O7" s="9" t="s">
        <v>60</v>
      </c>
      <c r="P7" s="5" t="s">
        <v>33</v>
      </c>
      <c r="Q7" s="3" t="s">
        <v>34</v>
      </c>
      <c r="R7" s="6" t="s">
        <v>61</v>
      </c>
    </row>
    <row r="8" customFormat="false" ht="36" hidden="false" customHeight="true" outlineLevel="0" collapsed="false">
      <c r="A8" s="2" t="n">
        <v>4</v>
      </c>
      <c r="B8" s="7" t="s">
        <v>62</v>
      </c>
      <c r="C8" s="7" t="s">
        <v>63</v>
      </c>
      <c r="D8" s="7" t="s">
        <v>64</v>
      </c>
      <c r="E8" s="7" t="s">
        <v>22</v>
      </c>
      <c r="F8" s="7" t="s">
        <v>65</v>
      </c>
      <c r="G8" s="7" t="s">
        <v>24</v>
      </c>
      <c r="H8" s="7" t="s">
        <v>25</v>
      </c>
      <c r="I8" s="7" t="s">
        <v>66</v>
      </c>
      <c r="J8" s="7" t="s">
        <v>27</v>
      </c>
      <c r="K8" s="7" t="s">
        <v>28</v>
      </c>
      <c r="L8" s="7" t="s">
        <v>29</v>
      </c>
      <c r="M8" s="7" t="s">
        <v>67</v>
      </c>
      <c r="N8" s="7" t="s">
        <v>68</v>
      </c>
      <c r="O8" s="4" t="s">
        <v>32</v>
      </c>
      <c r="P8" s="5" t="s">
        <v>33</v>
      </c>
      <c r="Q8" s="7" t="s">
        <v>34</v>
      </c>
      <c r="R8" s="8" t="s">
        <v>69</v>
      </c>
    </row>
    <row r="9" customFormat="false" ht="36" hidden="false" customHeight="true" outlineLevel="0" collapsed="false">
      <c r="A9" s="2" t="n">
        <v>5</v>
      </c>
      <c r="B9" s="3" t="s">
        <v>70</v>
      </c>
      <c r="C9" s="3" t="s">
        <v>63</v>
      </c>
      <c r="D9" s="3" t="s">
        <v>71</v>
      </c>
      <c r="E9" s="3" t="s">
        <v>72</v>
      </c>
      <c r="F9" s="3" t="s">
        <v>73</v>
      </c>
      <c r="G9" s="3" t="s">
        <v>74</v>
      </c>
      <c r="H9" s="3" t="s">
        <v>74</v>
      </c>
      <c r="I9" s="3" t="s">
        <v>75</v>
      </c>
      <c r="J9" s="3" t="s">
        <v>42</v>
      </c>
      <c r="K9" s="3" t="s">
        <v>76</v>
      </c>
      <c r="L9" s="3" t="s">
        <v>77</v>
      </c>
      <c r="M9" s="3" t="s">
        <v>78</v>
      </c>
      <c r="N9" s="3" t="s">
        <v>79</v>
      </c>
      <c r="O9" s="5" t="s">
        <v>47</v>
      </c>
      <c r="P9" s="5" t="s">
        <v>33</v>
      </c>
      <c r="Q9" s="3" t="s">
        <v>34</v>
      </c>
      <c r="R9" s="6" t="s">
        <v>80</v>
      </c>
    </row>
    <row r="10" customFormat="false" ht="36" hidden="false" customHeight="true" outlineLevel="0" collapsed="false">
      <c r="A10" s="2" t="n">
        <v>6</v>
      </c>
      <c r="B10" s="7" t="s">
        <v>81</v>
      </c>
      <c r="C10" s="7" t="s">
        <v>82</v>
      </c>
      <c r="D10" s="7" t="s">
        <v>83</v>
      </c>
      <c r="E10" s="7" t="s">
        <v>84</v>
      </c>
      <c r="F10" s="7" t="s">
        <v>85</v>
      </c>
      <c r="G10" s="7" t="s">
        <v>86</v>
      </c>
      <c r="H10" s="7" t="s">
        <v>86</v>
      </c>
      <c r="I10" s="7" t="s">
        <v>75</v>
      </c>
      <c r="J10" s="7" t="s">
        <v>75</v>
      </c>
      <c r="K10" s="7" t="s">
        <v>43</v>
      </c>
      <c r="L10" s="7" t="s">
        <v>87</v>
      </c>
      <c r="M10" s="7" t="s">
        <v>58</v>
      </c>
      <c r="N10" s="7" t="s">
        <v>88</v>
      </c>
      <c r="O10" s="9" t="s">
        <v>60</v>
      </c>
      <c r="P10" s="5" t="s">
        <v>33</v>
      </c>
      <c r="Q10" s="7" t="s">
        <v>34</v>
      </c>
      <c r="R10" s="8" t="s">
        <v>89</v>
      </c>
    </row>
    <row r="11" customFormat="false" ht="36" hidden="false" customHeight="true" outlineLevel="0" collapsed="false">
      <c r="A11" s="2" t="n">
        <v>7</v>
      </c>
      <c r="B11" s="3" t="s">
        <v>90</v>
      </c>
      <c r="C11" s="3" t="s">
        <v>91</v>
      </c>
      <c r="D11" s="3" t="s">
        <v>92</v>
      </c>
      <c r="E11" s="3" t="s">
        <v>93</v>
      </c>
      <c r="F11" s="3" t="s">
        <v>94</v>
      </c>
      <c r="G11" s="3" t="s">
        <v>74</v>
      </c>
      <c r="H11" s="3" t="s">
        <v>86</v>
      </c>
      <c r="I11" s="3" t="s">
        <v>41</v>
      </c>
      <c r="J11" s="3" t="s">
        <v>42</v>
      </c>
      <c r="K11" s="3" t="s">
        <v>95</v>
      </c>
      <c r="L11" s="3" t="s">
        <v>96</v>
      </c>
      <c r="M11" s="3" t="s">
        <v>97</v>
      </c>
      <c r="N11" s="3" t="s">
        <v>98</v>
      </c>
      <c r="O11" s="9" t="s">
        <v>60</v>
      </c>
      <c r="P11" s="5" t="s">
        <v>33</v>
      </c>
      <c r="Q11" s="3" t="s">
        <v>34</v>
      </c>
      <c r="R11" s="6" t="s">
        <v>99</v>
      </c>
    </row>
    <row r="12" customFormat="false" ht="36" hidden="false" customHeight="true" outlineLevel="0" collapsed="false">
      <c r="A12" s="2" t="n">
        <v>8</v>
      </c>
      <c r="B12" s="7" t="s">
        <v>100</v>
      </c>
      <c r="C12" s="7" t="s">
        <v>101</v>
      </c>
      <c r="D12" s="7" t="s">
        <v>102</v>
      </c>
      <c r="E12" s="7" t="s">
        <v>103</v>
      </c>
      <c r="F12" s="7" t="s">
        <v>104</v>
      </c>
      <c r="G12" s="7" t="s">
        <v>74</v>
      </c>
      <c r="H12" s="7" t="s">
        <v>86</v>
      </c>
      <c r="I12" s="7" t="s">
        <v>75</v>
      </c>
      <c r="J12" s="7" t="s">
        <v>75</v>
      </c>
      <c r="K12" s="7" t="s">
        <v>105</v>
      </c>
      <c r="L12" s="7" t="s">
        <v>106</v>
      </c>
      <c r="M12" s="7" t="s">
        <v>97</v>
      </c>
      <c r="N12" s="7" t="s">
        <v>107</v>
      </c>
      <c r="O12" s="10" t="s">
        <v>108</v>
      </c>
      <c r="P12" s="5" t="s">
        <v>33</v>
      </c>
      <c r="Q12" s="7" t="s">
        <v>34</v>
      </c>
      <c r="R12" s="8" t="s">
        <v>109</v>
      </c>
    </row>
    <row r="13" customFormat="false" ht="36" hidden="false" customHeight="true" outlineLevel="0" collapsed="false">
      <c r="A13" s="2" t="n">
        <v>9</v>
      </c>
      <c r="B13" s="3" t="s">
        <v>110</v>
      </c>
      <c r="C13" s="3" t="s">
        <v>111</v>
      </c>
      <c r="D13" s="3" t="s">
        <v>112</v>
      </c>
      <c r="E13" s="3" t="s">
        <v>113</v>
      </c>
      <c r="F13" s="3" t="s">
        <v>114</v>
      </c>
      <c r="G13" s="3" t="s">
        <v>114</v>
      </c>
      <c r="H13" s="3" t="s">
        <v>115</v>
      </c>
      <c r="I13" s="3" t="s">
        <v>54</v>
      </c>
      <c r="J13" s="3" t="s">
        <v>55</v>
      </c>
      <c r="K13" s="3" t="s">
        <v>56</v>
      </c>
      <c r="L13" s="3" t="s">
        <v>57</v>
      </c>
      <c r="M13" s="3" t="s">
        <v>116</v>
      </c>
      <c r="N13" s="3" t="s">
        <v>117</v>
      </c>
      <c r="O13" s="10" t="s">
        <v>108</v>
      </c>
      <c r="P13" s="5" t="s">
        <v>33</v>
      </c>
      <c r="Q13" s="3" t="s">
        <v>34</v>
      </c>
      <c r="R13" s="6" t="s">
        <v>118</v>
      </c>
    </row>
    <row r="14" customFormat="false" ht="36" hidden="false" customHeight="true" outlineLevel="0" collapsed="false">
      <c r="A14" s="2" t="n">
        <v>10</v>
      </c>
      <c r="B14" s="7" t="s">
        <v>110</v>
      </c>
      <c r="C14" s="7" t="s">
        <v>111</v>
      </c>
      <c r="D14" s="7" t="s">
        <v>112</v>
      </c>
      <c r="E14" s="7" t="s">
        <v>119</v>
      </c>
      <c r="F14" s="7" t="s">
        <v>120</v>
      </c>
      <c r="G14" s="7" t="s">
        <v>114</v>
      </c>
      <c r="H14" s="7" t="s">
        <v>121</v>
      </c>
      <c r="I14" s="7" t="s">
        <v>54</v>
      </c>
      <c r="J14" s="7" t="s">
        <v>55</v>
      </c>
      <c r="K14" s="7" t="s">
        <v>56</v>
      </c>
      <c r="L14" s="7" t="s">
        <v>122</v>
      </c>
      <c r="M14" s="7" t="s">
        <v>116</v>
      </c>
      <c r="N14" s="7" t="s">
        <v>123</v>
      </c>
      <c r="O14" s="10" t="s">
        <v>108</v>
      </c>
      <c r="P14" s="5" t="s">
        <v>33</v>
      </c>
      <c r="Q14" s="7" t="s">
        <v>34</v>
      </c>
      <c r="R14" s="8" t="s">
        <v>124</v>
      </c>
    </row>
    <row r="15" customFormat="false" ht="36" hidden="false" customHeight="true" outlineLevel="0" collapsed="false">
      <c r="A15" s="2" t="n">
        <v>11</v>
      </c>
      <c r="B15" s="3" t="s">
        <v>125</v>
      </c>
      <c r="C15" s="3" t="s">
        <v>126</v>
      </c>
      <c r="D15" s="3" t="s">
        <v>127</v>
      </c>
      <c r="E15" s="3" t="s">
        <v>128</v>
      </c>
      <c r="F15" s="3" t="s">
        <v>129</v>
      </c>
      <c r="G15" s="3" t="s">
        <v>86</v>
      </c>
      <c r="H15" s="3" t="s">
        <v>86</v>
      </c>
      <c r="I15" s="3" t="s">
        <v>75</v>
      </c>
      <c r="J15" s="3" t="s">
        <v>75</v>
      </c>
      <c r="K15" s="3" t="s">
        <v>56</v>
      </c>
      <c r="L15" s="3" t="s">
        <v>57</v>
      </c>
      <c r="M15" s="3" t="s">
        <v>130</v>
      </c>
      <c r="N15" s="3" t="s">
        <v>127</v>
      </c>
      <c r="O15" s="9" t="s">
        <v>60</v>
      </c>
      <c r="P15" s="5" t="s">
        <v>33</v>
      </c>
      <c r="Q15" s="3" t="s">
        <v>34</v>
      </c>
      <c r="R15" s="6" t="s">
        <v>131</v>
      </c>
    </row>
    <row r="16" customFormat="false" ht="36" hidden="false" customHeight="true" outlineLevel="0" collapsed="false">
      <c r="A16" s="2" t="n">
        <v>12</v>
      </c>
      <c r="B16" s="7" t="s">
        <v>132</v>
      </c>
      <c r="C16" s="7" t="s">
        <v>133</v>
      </c>
      <c r="D16" s="7" t="s">
        <v>134</v>
      </c>
      <c r="E16" s="7" t="s">
        <v>22</v>
      </c>
      <c r="F16" s="7" t="s">
        <v>135</v>
      </c>
      <c r="G16" s="7" t="s">
        <v>114</v>
      </c>
      <c r="H16" s="7" t="s">
        <v>136</v>
      </c>
      <c r="I16" s="7" t="s">
        <v>137</v>
      </c>
      <c r="J16" s="7" t="s">
        <v>27</v>
      </c>
      <c r="K16" s="7" t="s">
        <v>28</v>
      </c>
      <c r="L16" s="7" t="s">
        <v>29</v>
      </c>
      <c r="M16" s="7" t="s">
        <v>138</v>
      </c>
      <c r="N16" s="7" t="s">
        <v>139</v>
      </c>
      <c r="O16" s="4" t="s">
        <v>32</v>
      </c>
      <c r="P16" s="5" t="s">
        <v>33</v>
      </c>
      <c r="Q16" s="7" t="s">
        <v>34</v>
      </c>
      <c r="R16" s="8" t="s">
        <v>140</v>
      </c>
    </row>
    <row r="17" customFormat="false" ht="36" hidden="false" customHeight="true" outlineLevel="0" collapsed="false">
      <c r="A17" s="2" t="n">
        <v>13</v>
      </c>
      <c r="B17" s="3" t="s">
        <v>132</v>
      </c>
      <c r="C17" s="3" t="s">
        <v>133</v>
      </c>
      <c r="D17" s="3" t="s">
        <v>141</v>
      </c>
      <c r="E17" s="3" t="s">
        <v>51</v>
      </c>
      <c r="F17" s="3" t="s">
        <v>142</v>
      </c>
      <c r="G17" s="3" t="s">
        <v>114</v>
      </c>
      <c r="H17" s="3" t="s">
        <v>143</v>
      </c>
      <c r="I17" s="3" t="s">
        <v>54</v>
      </c>
      <c r="J17" s="3" t="s">
        <v>55</v>
      </c>
      <c r="K17" s="3" t="s">
        <v>56</v>
      </c>
      <c r="L17" s="3" t="s">
        <v>57</v>
      </c>
      <c r="M17" s="3" t="s">
        <v>138</v>
      </c>
      <c r="N17" s="3" t="s">
        <v>144</v>
      </c>
      <c r="O17" s="9" t="s">
        <v>60</v>
      </c>
      <c r="P17" s="5" t="s">
        <v>33</v>
      </c>
      <c r="Q17" s="3" t="s">
        <v>34</v>
      </c>
      <c r="R17" s="6" t="s">
        <v>145</v>
      </c>
    </row>
    <row r="18" customFormat="false" ht="36" hidden="false" customHeight="true" outlineLevel="0" collapsed="false">
      <c r="A18" s="2" t="n">
        <v>14</v>
      </c>
      <c r="B18" s="7" t="s">
        <v>146</v>
      </c>
      <c r="C18" s="7" t="s">
        <v>147</v>
      </c>
      <c r="D18" s="7" t="s">
        <v>148</v>
      </c>
      <c r="E18" s="7" t="s">
        <v>22</v>
      </c>
      <c r="F18" s="7" t="s">
        <v>149</v>
      </c>
      <c r="G18" s="7" t="s">
        <v>114</v>
      </c>
      <c r="H18" s="7" t="s">
        <v>150</v>
      </c>
      <c r="I18" s="7" t="s">
        <v>26</v>
      </c>
      <c r="J18" s="7" t="s">
        <v>27</v>
      </c>
      <c r="K18" s="7" t="s">
        <v>28</v>
      </c>
      <c r="L18" s="7" t="s">
        <v>29</v>
      </c>
      <c r="M18" s="7" t="s">
        <v>45</v>
      </c>
      <c r="N18" s="7" t="s">
        <v>151</v>
      </c>
      <c r="O18" s="4" t="s">
        <v>32</v>
      </c>
      <c r="P18" s="5" t="s">
        <v>33</v>
      </c>
      <c r="Q18" s="7" t="s">
        <v>34</v>
      </c>
      <c r="R18" s="8" t="s">
        <v>152</v>
      </c>
    </row>
    <row r="19" customFormat="false" ht="36" hidden="false" customHeight="true" outlineLevel="0" collapsed="false">
      <c r="A19" s="2" t="n">
        <v>15</v>
      </c>
      <c r="B19" s="3" t="s">
        <v>146</v>
      </c>
      <c r="C19" s="3" t="s">
        <v>147</v>
      </c>
      <c r="D19" s="3" t="s">
        <v>153</v>
      </c>
      <c r="E19" s="3" t="s">
        <v>51</v>
      </c>
      <c r="F19" s="3" t="s">
        <v>154</v>
      </c>
      <c r="G19" s="3" t="s">
        <v>114</v>
      </c>
      <c r="H19" s="3" t="s">
        <v>143</v>
      </c>
      <c r="I19" s="3" t="s">
        <v>54</v>
      </c>
      <c r="J19" s="3" t="s">
        <v>55</v>
      </c>
      <c r="K19" s="3" t="s">
        <v>56</v>
      </c>
      <c r="L19" s="3" t="s">
        <v>57</v>
      </c>
      <c r="M19" s="3" t="s">
        <v>45</v>
      </c>
      <c r="N19" s="3" t="s">
        <v>155</v>
      </c>
      <c r="O19" s="9" t="s">
        <v>60</v>
      </c>
      <c r="P19" s="5" t="s">
        <v>33</v>
      </c>
      <c r="Q19" s="3" t="s">
        <v>34</v>
      </c>
      <c r="R19" s="6" t="s">
        <v>156</v>
      </c>
    </row>
    <row r="20" customFormat="false" ht="36" hidden="false" customHeight="true" outlineLevel="0" collapsed="false">
      <c r="A20" s="2" t="n">
        <v>16</v>
      </c>
      <c r="B20" s="7" t="s">
        <v>146</v>
      </c>
      <c r="C20" s="7" t="s">
        <v>147</v>
      </c>
      <c r="D20" s="7" t="s">
        <v>157</v>
      </c>
      <c r="E20" s="7" t="s">
        <v>158</v>
      </c>
      <c r="F20" s="7" t="s">
        <v>159</v>
      </c>
      <c r="G20" s="7" t="s">
        <v>114</v>
      </c>
      <c r="H20" s="7" t="s">
        <v>143</v>
      </c>
      <c r="I20" s="7" t="s">
        <v>160</v>
      </c>
      <c r="J20" s="7" t="s">
        <v>161</v>
      </c>
      <c r="K20" s="7" t="s">
        <v>56</v>
      </c>
      <c r="L20" s="7" t="s">
        <v>162</v>
      </c>
      <c r="M20" s="7" t="s">
        <v>45</v>
      </c>
      <c r="N20" s="7" t="s">
        <v>163</v>
      </c>
      <c r="O20" s="10" t="s">
        <v>108</v>
      </c>
      <c r="P20" s="5" t="s">
        <v>33</v>
      </c>
      <c r="Q20" s="7" t="s">
        <v>34</v>
      </c>
      <c r="R20" s="8" t="s">
        <v>164</v>
      </c>
    </row>
    <row r="21" customFormat="false" ht="36" hidden="false" customHeight="true" outlineLevel="0" collapsed="false">
      <c r="A21" s="2" t="n">
        <v>17</v>
      </c>
      <c r="B21" s="3" t="s">
        <v>146</v>
      </c>
      <c r="C21" s="3" t="s">
        <v>147</v>
      </c>
      <c r="D21" s="3" t="s">
        <v>165</v>
      </c>
      <c r="E21" s="3" t="s">
        <v>166</v>
      </c>
      <c r="F21" s="3" t="s">
        <v>167</v>
      </c>
      <c r="G21" s="3" t="s">
        <v>114</v>
      </c>
      <c r="H21" s="3" t="s">
        <v>168</v>
      </c>
      <c r="I21" s="3" t="s">
        <v>169</v>
      </c>
      <c r="J21" s="3" t="s">
        <v>170</v>
      </c>
      <c r="K21" s="3" t="s">
        <v>171</v>
      </c>
      <c r="L21" s="3" t="s">
        <v>172</v>
      </c>
      <c r="M21" s="3" t="s">
        <v>45</v>
      </c>
      <c r="N21" s="3" t="s">
        <v>173</v>
      </c>
      <c r="O21" s="9" t="s">
        <v>60</v>
      </c>
      <c r="P21" s="5" t="s">
        <v>33</v>
      </c>
      <c r="Q21" s="3" t="s">
        <v>34</v>
      </c>
      <c r="R21" s="6" t="s">
        <v>174</v>
      </c>
    </row>
    <row r="22" customFormat="false" ht="36" hidden="false" customHeight="true" outlineLevel="0" collapsed="false">
      <c r="A22" s="2" t="n">
        <v>18</v>
      </c>
      <c r="B22" s="7" t="s">
        <v>175</v>
      </c>
      <c r="C22" s="7" t="s">
        <v>176</v>
      </c>
      <c r="D22" s="7" t="s">
        <v>177</v>
      </c>
      <c r="E22" s="7" t="s">
        <v>178</v>
      </c>
      <c r="F22" s="7" t="s">
        <v>179</v>
      </c>
      <c r="G22" s="7" t="s">
        <v>180</v>
      </c>
      <c r="H22" s="7" t="s">
        <v>180</v>
      </c>
      <c r="I22" s="7" t="s">
        <v>75</v>
      </c>
      <c r="J22" s="7" t="s">
        <v>75</v>
      </c>
      <c r="K22" s="7" t="s">
        <v>181</v>
      </c>
      <c r="L22" s="7" t="s">
        <v>182</v>
      </c>
      <c r="M22" s="7" t="s">
        <v>183</v>
      </c>
      <c r="N22" s="7" t="s">
        <v>184</v>
      </c>
      <c r="O22" s="9" t="s">
        <v>60</v>
      </c>
      <c r="P22" s="5" t="s">
        <v>33</v>
      </c>
      <c r="Q22" s="7" t="s">
        <v>34</v>
      </c>
      <c r="R22" s="8" t="s">
        <v>185</v>
      </c>
    </row>
    <row r="23" customFormat="false" ht="36" hidden="false" customHeight="true" outlineLevel="0" collapsed="false">
      <c r="A23" s="2" t="n">
        <v>19</v>
      </c>
      <c r="B23" s="3" t="s">
        <v>175</v>
      </c>
      <c r="C23" s="3" t="s">
        <v>176</v>
      </c>
      <c r="D23" s="3" t="s">
        <v>186</v>
      </c>
      <c r="E23" s="3" t="s">
        <v>187</v>
      </c>
      <c r="F23" s="3" t="s">
        <v>188</v>
      </c>
      <c r="G23" s="3" t="s">
        <v>180</v>
      </c>
      <c r="H23" s="3" t="s">
        <v>180</v>
      </c>
      <c r="I23" s="3" t="s">
        <v>75</v>
      </c>
      <c r="J23" s="3" t="s">
        <v>75</v>
      </c>
      <c r="K23" s="3" t="s">
        <v>181</v>
      </c>
      <c r="L23" s="3" t="s">
        <v>182</v>
      </c>
      <c r="M23" s="3" t="s">
        <v>189</v>
      </c>
      <c r="N23" s="3" t="s">
        <v>190</v>
      </c>
      <c r="O23" s="9" t="s">
        <v>60</v>
      </c>
      <c r="P23" s="5" t="s">
        <v>33</v>
      </c>
      <c r="Q23" s="3" t="s">
        <v>34</v>
      </c>
      <c r="R23" s="6" t="s">
        <v>191</v>
      </c>
    </row>
    <row r="24" customFormat="false" ht="36" hidden="false" customHeight="true" outlineLevel="0" collapsed="false">
      <c r="A24" s="2" t="n">
        <v>20</v>
      </c>
      <c r="B24" s="7" t="s">
        <v>192</v>
      </c>
      <c r="C24" s="7" t="s">
        <v>193</v>
      </c>
      <c r="D24" s="7" t="s">
        <v>194</v>
      </c>
      <c r="E24" s="7" t="s">
        <v>113</v>
      </c>
      <c r="F24" s="7" t="s">
        <v>195</v>
      </c>
      <c r="G24" s="7" t="s">
        <v>195</v>
      </c>
      <c r="H24" s="7" t="s">
        <v>196</v>
      </c>
      <c r="I24" s="7" t="s">
        <v>197</v>
      </c>
      <c r="J24" s="7" t="s">
        <v>198</v>
      </c>
      <c r="K24" s="7" t="s">
        <v>199</v>
      </c>
      <c r="L24" s="7" t="s">
        <v>200</v>
      </c>
      <c r="M24" s="7" t="s">
        <v>201</v>
      </c>
      <c r="N24" s="7" t="s">
        <v>202</v>
      </c>
      <c r="O24" s="10" t="s">
        <v>108</v>
      </c>
      <c r="P24" s="11" t="s">
        <v>203</v>
      </c>
      <c r="Q24" s="7" t="s">
        <v>34</v>
      </c>
      <c r="R24" s="8" t="s">
        <v>204</v>
      </c>
    </row>
    <row r="25" customFormat="false" ht="36" hidden="false" customHeight="true" outlineLevel="0" collapsed="false">
      <c r="A25" s="2" t="n">
        <v>21</v>
      </c>
      <c r="B25" s="3" t="s">
        <v>192</v>
      </c>
      <c r="C25" s="3" t="s">
        <v>193</v>
      </c>
      <c r="D25" s="3" t="s">
        <v>194</v>
      </c>
      <c r="E25" s="3" t="s">
        <v>205</v>
      </c>
      <c r="F25" s="3" t="s">
        <v>206</v>
      </c>
      <c r="G25" s="3" t="s">
        <v>195</v>
      </c>
      <c r="H25" s="3" t="s">
        <v>74</v>
      </c>
      <c r="I25" s="3" t="s">
        <v>197</v>
      </c>
      <c r="J25" s="3" t="s">
        <v>198</v>
      </c>
      <c r="K25" s="3" t="s">
        <v>171</v>
      </c>
      <c r="L25" s="3" t="s">
        <v>207</v>
      </c>
      <c r="M25" s="3" t="s">
        <v>208</v>
      </c>
      <c r="N25" s="3" t="s">
        <v>209</v>
      </c>
      <c r="O25" s="10" t="s">
        <v>108</v>
      </c>
      <c r="P25" s="11" t="s">
        <v>203</v>
      </c>
      <c r="Q25" s="3" t="s">
        <v>34</v>
      </c>
      <c r="R25" s="6" t="s">
        <v>210</v>
      </c>
    </row>
    <row r="26" customFormat="false" ht="36" hidden="false" customHeight="true" outlineLevel="0" collapsed="false">
      <c r="A26" s="2" t="n">
        <v>22</v>
      </c>
      <c r="B26" s="7" t="s">
        <v>192</v>
      </c>
      <c r="C26" s="7" t="s">
        <v>193</v>
      </c>
      <c r="D26" s="7" t="s">
        <v>211</v>
      </c>
      <c r="E26" s="7" t="s">
        <v>212</v>
      </c>
      <c r="F26" s="7" t="s">
        <v>213</v>
      </c>
      <c r="G26" s="7" t="s">
        <v>214</v>
      </c>
      <c r="H26" s="7" t="s">
        <v>215</v>
      </c>
      <c r="I26" s="7" t="s">
        <v>75</v>
      </c>
      <c r="J26" s="7" t="s">
        <v>42</v>
      </c>
      <c r="K26" s="7" t="s">
        <v>95</v>
      </c>
      <c r="L26" s="7" t="s">
        <v>96</v>
      </c>
      <c r="M26" s="7" t="s">
        <v>216</v>
      </c>
      <c r="N26" s="7" t="s">
        <v>217</v>
      </c>
      <c r="O26" s="9" t="s">
        <v>60</v>
      </c>
      <c r="P26" s="11" t="s">
        <v>203</v>
      </c>
      <c r="Q26" s="7" t="s">
        <v>34</v>
      </c>
      <c r="R26" s="8" t="s">
        <v>218</v>
      </c>
    </row>
    <row r="27" customFormat="false" ht="36" hidden="false" customHeight="true" outlineLevel="0" collapsed="false">
      <c r="A27" s="2" t="n">
        <v>23</v>
      </c>
      <c r="B27" s="3" t="s">
        <v>192</v>
      </c>
      <c r="C27" s="3" t="s">
        <v>193</v>
      </c>
      <c r="D27" s="3" t="s">
        <v>219</v>
      </c>
      <c r="E27" s="3" t="s">
        <v>220</v>
      </c>
      <c r="F27" s="3" t="s">
        <v>221</v>
      </c>
      <c r="G27" s="3" t="s">
        <v>222</v>
      </c>
      <c r="H27" s="3" t="s">
        <v>195</v>
      </c>
      <c r="I27" s="3" t="s">
        <v>197</v>
      </c>
      <c r="J27" s="3" t="s">
        <v>198</v>
      </c>
      <c r="K27" s="3" t="s">
        <v>223</v>
      </c>
      <c r="L27" s="3" t="s">
        <v>224</v>
      </c>
      <c r="M27" s="3" t="s">
        <v>208</v>
      </c>
      <c r="N27" s="3" t="s">
        <v>225</v>
      </c>
      <c r="O27" s="10" t="s">
        <v>108</v>
      </c>
      <c r="P27" s="11" t="s">
        <v>203</v>
      </c>
      <c r="Q27" s="3" t="s">
        <v>34</v>
      </c>
      <c r="R27" s="6" t="s">
        <v>226</v>
      </c>
    </row>
    <row r="28" customFormat="false" ht="36" hidden="false" customHeight="true" outlineLevel="0" collapsed="false">
      <c r="A28" s="2" t="n">
        <v>24</v>
      </c>
      <c r="B28" s="7" t="s">
        <v>227</v>
      </c>
      <c r="C28" s="7" t="s">
        <v>228</v>
      </c>
      <c r="D28" s="7" t="s">
        <v>229</v>
      </c>
      <c r="E28" s="7" t="s">
        <v>119</v>
      </c>
      <c r="F28" s="7" t="s">
        <v>230</v>
      </c>
      <c r="G28" s="7" t="s">
        <v>231</v>
      </c>
      <c r="H28" s="7" t="s">
        <v>232</v>
      </c>
      <c r="I28" s="7" t="s">
        <v>75</v>
      </c>
      <c r="J28" s="7" t="s">
        <v>75</v>
      </c>
      <c r="K28" s="7" t="s">
        <v>56</v>
      </c>
      <c r="L28" s="7" t="s">
        <v>57</v>
      </c>
      <c r="M28" s="7" t="s">
        <v>58</v>
      </c>
      <c r="N28" s="7" t="s">
        <v>59</v>
      </c>
      <c r="O28" s="9" t="s">
        <v>60</v>
      </c>
      <c r="P28" s="5" t="s">
        <v>33</v>
      </c>
      <c r="Q28" s="7" t="s">
        <v>34</v>
      </c>
      <c r="R28" s="8" t="s">
        <v>233</v>
      </c>
    </row>
    <row r="29" customFormat="false" ht="36" hidden="false" customHeight="true" outlineLevel="0" collapsed="false">
      <c r="A29" s="2" t="n">
        <v>25</v>
      </c>
      <c r="B29" s="3" t="s">
        <v>227</v>
      </c>
      <c r="C29" s="3" t="s">
        <v>228</v>
      </c>
      <c r="D29" s="3" t="s">
        <v>234</v>
      </c>
      <c r="E29" s="3" t="s">
        <v>187</v>
      </c>
      <c r="F29" s="3" t="s">
        <v>235</v>
      </c>
      <c r="G29" s="3" t="s">
        <v>231</v>
      </c>
      <c r="H29" s="3" t="s">
        <v>232</v>
      </c>
      <c r="I29" s="3" t="s">
        <v>75</v>
      </c>
      <c r="J29" s="3" t="s">
        <v>75</v>
      </c>
      <c r="K29" s="3" t="s">
        <v>181</v>
      </c>
      <c r="L29" s="3" t="s">
        <v>236</v>
      </c>
      <c r="M29" s="3" t="s">
        <v>58</v>
      </c>
      <c r="N29" s="3" t="s">
        <v>237</v>
      </c>
      <c r="O29" s="9" t="s">
        <v>60</v>
      </c>
      <c r="P29" s="5" t="s">
        <v>33</v>
      </c>
      <c r="Q29" s="3" t="s">
        <v>34</v>
      </c>
      <c r="R29" s="6" t="s">
        <v>238</v>
      </c>
    </row>
    <row r="30" customFormat="false" ht="36" hidden="false" customHeight="true" outlineLevel="0" collapsed="false">
      <c r="A30" s="2" t="n">
        <v>26</v>
      </c>
      <c r="B30" s="7" t="s">
        <v>227</v>
      </c>
      <c r="C30" s="7" t="s">
        <v>228</v>
      </c>
      <c r="D30" s="7" t="s">
        <v>239</v>
      </c>
      <c r="E30" s="7" t="s">
        <v>240</v>
      </c>
      <c r="F30" s="7" t="s">
        <v>241</v>
      </c>
      <c r="G30" s="7" t="s">
        <v>231</v>
      </c>
      <c r="H30" s="7" t="s">
        <v>121</v>
      </c>
      <c r="I30" s="7" t="s">
        <v>75</v>
      </c>
      <c r="J30" s="7" t="s">
        <v>242</v>
      </c>
      <c r="K30" s="7" t="s">
        <v>240</v>
      </c>
      <c r="L30" s="7" t="s">
        <v>243</v>
      </c>
      <c r="M30" s="7" t="s">
        <v>58</v>
      </c>
      <c r="N30" s="7" t="s">
        <v>244</v>
      </c>
      <c r="O30" s="9" t="s">
        <v>60</v>
      </c>
      <c r="P30" s="5" t="s">
        <v>33</v>
      </c>
      <c r="Q30" s="7" t="s">
        <v>34</v>
      </c>
      <c r="R30" s="8" t="s">
        <v>245</v>
      </c>
    </row>
    <row r="31" customFormat="false" ht="36" hidden="false" customHeight="true" outlineLevel="0" collapsed="false">
      <c r="A31" s="2" t="n">
        <v>27</v>
      </c>
      <c r="B31" s="3" t="s">
        <v>227</v>
      </c>
      <c r="C31" s="3" t="s">
        <v>228</v>
      </c>
      <c r="D31" s="3" t="s">
        <v>246</v>
      </c>
      <c r="E31" s="3" t="s">
        <v>247</v>
      </c>
      <c r="F31" s="3" t="s">
        <v>248</v>
      </c>
      <c r="G31" s="3" t="s">
        <v>121</v>
      </c>
      <c r="H31" s="3" t="s">
        <v>232</v>
      </c>
      <c r="I31" s="3" t="s">
        <v>75</v>
      </c>
      <c r="J31" s="3" t="s">
        <v>75</v>
      </c>
      <c r="K31" s="3" t="s">
        <v>247</v>
      </c>
      <c r="L31" s="3" t="s">
        <v>249</v>
      </c>
      <c r="M31" s="3" t="s">
        <v>58</v>
      </c>
      <c r="N31" s="3" t="s">
        <v>250</v>
      </c>
      <c r="O31" s="10" t="s">
        <v>108</v>
      </c>
      <c r="P31" s="5" t="s">
        <v>33</v>
      </c>
      <c r="Q31" s="3" t="s">
        <v>34</v>
      </c>
      <c r="R31" s="6" t="s">
        <v>251</v>
      </c>
    </row>
    <row r="32" customFormat="false" ht="36" hidden="false" customHeight="true" outlineLevel="0" collapsed="false">
      <c r="A32" s="2" t="n">
        <v>28</v>
      </c>
      <c r="B32" s="7" t="s">
        <v>252</v>
      </c>
      <c r="C32" s="7" t="s">
        <v>253</v>
      </c>
      <c r="D32" s="7" t="s">
        <v>254</v>
      </c>
      <c r="E32" s="7" t="s">
        <v>255</v>
      </c>
      <c r="F32" s="7" t="s">
        <v>256</v>
      </c>
      <c r="G32" s="7" t="s">
        <v>257</v>
      </c>
      <c r="H32" s="7" t="s">
        <v>258</v>
      </c>
      <c r="I32" s="7" t="s">
        <v>197</v>
      </c>
      <c r="J32" s="7" t="s">
        <v>198</v>
      </c>
      <c r="K32" s="7" t="s">
        <v>199</v>
      </c>
      <c r="L32" s="7" t="s">
        <v>259</v>
      </c>
      <c r="M32" s="7" t="s">
        <v>189</v>
      </c>
      <c r="N32" s="7" t="s">
        <v>260</v>
      </c>
      <c r="O32" s="5" t="s">
        <v>47</v>
      </c>
      <c r="P32" s="12" t="s">
        <v>261</v>
      </c>
      <c r="Q32" s="4" t="s">
        <v>262</v>
      </c>
      <c r="R32" s="8" t="s">
        <v>263</v>
      </c>
    </row>
    <row r="33" customFormat="false" ht="36" hidden="false" customHeight="true" outlineLevel="0" collapsed="false">
      <c r="A33" s="2" t="n">
        <v>29</v>
      </c>
      <c r="B33" s="3" t="s">
        <v>252</v>
      </c>
      <c r="C33" s="3" t="s">
        <v>264</v>
      </c>
      <c r="D33" s="3" t="s">
        <v>265</v>
      </c>
      <c r="E33" s="3" t="s">
        <v>266</v>
      </c>
      <c r="F33" s="3" t="s">
        <v>267</v>
      </c>
      <c r="G33" s="3" t="s">
        <v>180</v>
      </c>
      <c r="H33" s="3" t="s">
        <v>180</v>
      </c>
      <c r="I33" s="3" t="s">
        <v>75</v>
      </c>
      <c r="J33" s="3" t="s">
        <v>75</v>
      </c>
      <c r="K33" s="3" t="s">
        <v>247</v>
      </c>
      <c r="L33" s="3" t="s">
        <v>268</v>
      </c>
      <c r="M33" s="3" t="s">
        <v>269</v>
      </c>
      <c r="N33" s="3" t="s">
        <v>270</v>
      </c>
      <c r="O33" s="9" t="s">
        <v>60</v>
      </c>
      <c r="P33" s="10" t="s">
        <v>271</v>
      </c>
      <c r="Q33" s="3" t="s">
        <v>34</v>
      </c>
      <c r="R33" s="6" t="s">
        <v>272</v>
      </c>
    </row>
    <row r="34" customFormat="false" ht="36" hidden="false" customHeight="true" outlineLevel="0" collapsed="false">
      <c r="A34" s="2" t="n">
        <v>30</v>
      </c>
      <c r="B34" s="7" t="s">
        <v>273</v>
      </c>
      <c r="C34" s="7" t="s">
        <v>274</v>
      </c>
      <c r="D34" s="7" t="s">
        <v>275</v>
      </c>
      <c r="E34" s="7" t="s">
        <v>276</v>
      </c>
      <c r="F34" s="7" t="s">
        <v>277</v>
      </c>
      <c r="G34" s="7" t="s">
        <v>278</v>
      </c>
      <c r="H34" s="7" t="s">
        <v>279</v>
      </c>
      <c r="I34" s="7" t="s">
        <v>75</v>
      </c>
      <c r="J34" s="7" t="s">
        <v>198</v>
      </c>
      <c r="K34" s="7" t="s">
        <v>223</v>
      </c>
      <c r="L34" s="7" t="s">
        <v>280</v>
      </c>
      <c r="M34" s="7" t="s">
        <v>281</v>
      </c>
      <c r="N34" s="7" t="s">
        <v>282</v>
      </c>
      <c r="O34" s="9" t="s">
        <v>60</v>
      </c>
      <c r="P34" s="10" t="s">
        <v>271</v>
      </c>
      <c r="Q34" s="7" t="s">
        <v>34</v>
      </c>
      <c r="R34" s="8" t="s">
        <v>283</v>
      </c>
    </row>
    <row r="35" customFormat="false" ht="36" hidden="false" customHeight="true" outlineLevel="0" collapsed="false">
      <c r="A35" s="2" t="n">
        <v>31</v>
      </c>
      <c r="B35" s="3" t="s">
        <v>273</v>
      </c>
      <c r="C35" s="3" t="s">
        <v>274</v>
      </c>
      <c r="D35" s="3" t="s">
        <v>284</v>
      </c>
      <c r="E35" s="3" t="s">
        <v>285</v>
      </c>
      <c r="F35" s="3" t="s">
        <v>286</v>
      </c>
      <c r="G35" s="3" t="s">
        <v>278</v>
      </c>
      <c r="H35" s="3" t="s">
        <v>287</v>
      </c>
      <c r="I35" s="3" t="s">
        <v>75</v>
      </c>
      <c r="J35" s="3" t="s">
        <v>198</v>
      </c>
      <c r="K35" s="3" t="s">
        <v>247</v>
      </c>
      <c r="L35" s="3" t="s">
        <v>268</v>
      </c>
      <c r="M35" s="3" t="s">
        <v>281</v>
      </c>
      <c r="N35" s="3" t="s">
        <v>288</v>
      </c>
      <c r="O35" s="9" t="s">
        <v>60</v>
      </c>
      <c r="P35" s="10" t="s">
        <v>271</v>
      </c>
      <c r="Q35" s="3" t="s">
        <v>34</v>
      </c>
      <c r="R35" s="6" t="s">
        <v>289</v>
      </c>
    </row>
    <row r="36" customFormat="false" ht="36" hidden="false" customHeight="true" outlineLevel="0" collapsed="false">
      <c r="A36" s="2" t="n">
        <v>32</v>
      </c>
      <c r="B36" s="7" t="s">
        <v>273</v>
      </c>
      <c r="C36" s="7" t="s">
        <v>274</v>
      </c>
      <c r="D36" s="7" t="s">
        <v>290</v>
      </c>
      <c r="E36" s="7" t="s">
        <v>291</v>
      </c>
      <c r="F36" s="7" t="s">
        <v>292</v>
      </c>
      <c r="G36" s="7" t="s">
        <v>278</v>
      </c>
      <c r="H36" s="7" t="s">
        <v>287</v>
      </c>
      <c r="I36" s="7" t="s">
        <v>75</v>
      </c>
      <c r="J36" s="7" t="s">
        <v>198</v>
      </c>
      <c r="K36" s="7" t="s">
        <v>223</v>
      </c>
      <c r="L36" s="7" t="s">
        <v>293</v>
      </c>
      <c r="M36" s="7" t="s">
        <v>281</v>
      </c>
      <c r="N36" s="7" t="s">
        <v>294</v>
      </c>
      <c r="O36" s="10" t="s">
        <v>108</v>
      </c>
      <c r="P36" s="10" t="s">
        <v>271</v>
      </c>
      <c r="Q36" s="7" t="s">
        <v>34</v>
      </c>
      <c r="R36" s="8" t="s">
        <v>295</v>
      </c>
    </row>
    <row r="37" customFormat="false" ht="36" hidden="false" customHeight="true" outlineLevel="0" collapsed="false">
      <c r="A37" s="2" t="n">
        <v>33</v>
      </c>
      <c r="B37" s="3" t="s">
        <v>296</v>
      </c>
      <c r="C37" s="3" t="s">
        <v>297</v>
      </c>
      <c r="D37" s="3" t="s">
        <v>298</v>
      </c>
      <c r="E37" s="3" t="s">
        <v>299</v>
      </c>
      <c r="F37" s="3" t="s">
        <v>300</v>
      </c>
      <c r="G37" s="3" t="s">
        <v>301</v>
      </c>
      <c r="H37" s="3" t="s">
        <v>302</v>
      </c>
      <c r="I37" s="3" t="s">
        <v>75</v>
      </c>
      <c r="J37" s="3" t="s">
        <v>198</v>
      </c>
      <c r="K37" s="3" t="s">
        <v>95</v>
      </c>
      <c r="L37" s="3" t="s">
        <v>280</v>
      </c>
      <c r="M37" s="3" t="s">
        <v>303</v>
      </c>
      <c r="N37" s="3" t="s">
        <v>304</v>
      </c>
      <c r="O37" s="4" t="s">
        <v>32</v>
      </c>
      <c r="P37" s="13" t="s">
        <v>305</v>
      </c>
      <c r="Q37" s="3" t="s">
        <v>34</v>
      </c>
      <c r="R37" s="6" t="s">
        <v>306</v>
      </c>
    </row>
    <row r="38" customFormat="false" ht="36" hidden="false" customHeight="true" outlineLevel="0" collapsed="false">
      <c r="A38" s="2" t="n">
        <v>34</v>
      </c>
      <c r="B38" s="7" t="s">
        <v>307</v>
      </c>
      <c r="C38" s="7" t="s">
        <v>297</v>
      </c>
      <c r="D38" s="7" t="s">
        <v>308</v>
      </c>
      <c r="E38" s="7" t="s">
        <v>299</v>
      </c>
      <c r="F38" s="7" t="s">
        <v>309</v>
      </c>
      <c r="G38" s="7" t="s">
        <v>180</v>
      </c>
      <c r="H38" s="7" t="s">
        <v>302</v>
      </c>
      <c r="I38" s="7" t="s">
        <v>75</v>
      </c>
      <c r="J38" s="7" t="s">
        <v>75</v>
      </c>
      <c r="K38" s="7" t="s">
        <v>181</v>
      </c>
      <c r="L38" s="7" t="s">
        <v>182</v>
      </c>
      <c r="M38" s="7" t="s">
        <v>303</v>
      </c>
      <c r="N38" s="7" t="s">
        <v>310</v>
      </c>
      <c r="O38" s="9" t="s">
        <v>60</v>
      </c>
      <c r="P38" s="5" t="s">
        <v>33</v>
      </c>
      <c r="Q38" s="7" t="s">
        <v>34</v>
      </c>
      <c r="R38" s="8" t="s">
        <v>311</v>
      </c>
    </row>
    <row r="39" customFormat="false" ht="36" hidden="false" customHeight="true" outlineLevel="0" collapsed="false">
      <c r="A39" s="2" t="n">
        <v>35</v>
      </c>
      <c r="B39" s="3" t="s">
        <v>312</v>
      </c>
      <c r="C39" s="3" t="s">
        <v>313</v>
      </c>
      <c r="D39" s="3" t="s">
        <v>314</v>
      </c>
      <c r="E39" s="3" t="s">
        <v>247</v>
      </c>
      <c r="F39" s="3" t="s">
        <v>315</v>
      </c>
      <c r="G39" s="3" t="s">
        <v>316</v>
      </c>
      <c r="H39" s="3" t="s">
        <v>316</v>
      </c>
      <c r="I39" s="3" t="s">
        <v>75</v>
      </c>
      <c r="J39" s="3" t="s">
        <v>75</v>
      </c>
      <c r="K39" s="3" t="s">
        <v>247</v>
      </c>
      <c r="L39" s="3" t="s">
        <v>249</v>
      </c>
      <c r="M39" s="3" t="s">
        <v>317</v>
      </c>
      <c r="N39" s="3" t="s">
        <v>318</v>
      </c>
      <c r="O39" s="4" t="s">
        <v>32</v>
      </c>
      <c r="P39" s="13" t="s">
        <v>305</v>
      </c>
      <c r="Q39" s="3" t="s">
        <v>34</v>
      </c>
      <c r="R39" s="6" t="s">
        <v>319</v>
      </c>
    </row>
    <row r="40" customFormat="false" ht="36" hidden="false" customHeight="true" outlineLevel="0" collapsed="false">
      <c r="A40" s="2" t="n">
        <v>36</v>
      </c>
      <c r="B40" s="7" t="s">
        <v>312</v>
      </c>
      <c r="C40" s="7" t="s">
        <v>313</v>
      </c>
      <c r="D40" s="7" t="s">
        <v>320</v>
      </c>
      <c r="E40" s="7" t="s">
        <v>321</v>
      </c>
      <c r="F40" s="7" t="s">
        <v>322</v>
      </c>
      <c r="G40" s="7" t="s">
        <v>316</v>
      </c>
      <c r="H40" s="7" t="s">
        <v>316</v>
      </c>
      <c r="I40" s="7" t="s">
        <v>75</v>
      </c>
      <c r="J40" s="7" t="s">
        <v>75</v>
      </c>
      <c r="K40" s="7" t="s">
        <v>181</v>
      </c>
      <c r="L40" s="7" t="s">
        <v>106</v>
      </c>
      <c r="M40" s="7" t="s">
        <v>317</v>
      </c>
      <c r="N40" s="7" t="s">
        <v>323</v>
      </c>
      <c r="O40" s="4" t="s">
        <v>32</v>
      </c>
      <c r="P40" s="13" t="s">
        <v>305</v>
      </c>
      <c r="Q40" s="7" t="s">
        <v>34</v>
      </c>
      <c r="R40" s="8" t="s">
        <v>324</v>
      </c>
    </row>
    <row r="41" customFormat="false" ht="19.5" hidden="false" customHeight="true" outlineLevel="0" collapsed="false">
      <c r="A41" s="14" t="s">
        <v>325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5"/>
      <c r="P41" s="15"/>
      <c r="Q41" s="2" t="n">
        <f aca="false">COUNTIF(Q5:Q40,"Yes")</f>
        <v>1</v>
      </c>
      <c r="R41" s="15"/>
    </row>
  </sheetData>
  <mergeCells count="2">
    <mergeCell ref="A1:R3"/>
    <mergeCell ref="A41:N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4" min="4" style="0" width="28"/>
    <col collapsed="false" customWidth="true" hidden="false" outlineLevel="0" max="5" min="5" style="0" width="12"/>
  </cols>
  <sheetData>
    <row r="1" customFormat="false" ht="27.75" hidden="false" customHeight="true" outlineLevel="0" collapsed="false">
      <c r="A1" s="1" t="s">
        <v>326</v>
      </c>
      <c r="B1" s="1"/>
      <c r="C1" s="1"/>
      <c r="D1" s="1"/>
      <c r="E1" s="1"/>
    </row>
    <row r="2" customFormat="false" ht="15" hidden="false" customHeight="false" outlineLevel="0" collapsed="false">
      <c r="A2" s="1"/>
      <c r="B2" s="1"/>
      <c r="C2" s="1"/>
      <c r="D2" s="1"/>
      <c r="E2" s="1"/>
    </row>
    <row r="4" customFormat="false" ht="15" hidden="false" customHeight="false" outlineLevel="0" collapsed="false">
      <c r="A4" s="16" t="s">
        <v>327</v>
      </c>
      <c r="D4" s="16" t="s">
        <v>328</v>
      </c>
    </row>
    <row r="5" customFormat="false" ht="15" hidden="false" customHeight="false" outlineLevel="0" collapsed="false">
      <c r="A5" s="2" t="s">
        <v>329</v>
      </c>
      <c r="B5" s="2" t="s">
        <v>330</v>
      </c>
      <c r="C5" s="2" t="s">
        <v>331</v>
      </c>
      <c r="D5" s="2" t="s">
        <v>332</v>
      </c>
      <c r="E5" s="2" t="s">
        <v>333</v>
      </c>
    </row>
    <row r="6" customFormat="false" ht="18" hidden="false" customHeight="true" outlineLevel="0" collapsed="false">
      <c r="A6" s="10" t="s">
        <v>108</v>
      </c>
      <c r="B6" s="17" t="n">
        <f aca="false">COUNTIF('IOC Log'!O5:O40,"CRITICAL")</f>
        <v>9</v>
      </c>
      <c r="C6" s="18" t="n">
        <f aca="false">IF(B6=0,0,B6/SUM(B6:B9))</f>
        <v>0.25</v>
      </c>
      <c r="D6" s="19" t="s">
        <v>20</v>
      </c>
      <c r="E6" s="20" t="n">
        <v>3</v>
      </c>
    </row>
    <row r="7" customFormat="false" ht="18" hidden="false" customHeight="true" outlineLevel="0" collapsed="false">
      <c r="A7" s="9" t="s">
        <v>60</v>
      </c>
      <c r="B7" s="17" t="n">
        <f aca="false">COUNTIF('IOC Log'!O5:O40,"HIGH")</f>
        <v>17</v>
      </c>
      <c r="C7" s="18" t="n">
        <f aca="false">IF(B7=0,0,B7/SUM(B6:B9))</f>
        <v>0.472222222222222</v>
      </c>
      <c r="D7" s="21" t="s">
        <v>63</v>
      </c>
      <c r="E7" s="20" t="n">
        <v>2</v>
      </c>
    </row>
    <row r="8" customFormat="false" ht="18" hidden="false" customHeight="true" outlineLevel="0" collapsed="false">
      <c r="A8" s="4" t="s">
        <v>32</v>
      </c>
      <c r="B8" s="17" t="n">
        <f aca="false">COUNTIF('IOC Log'!O5:O40,"MEDIUM")</f>
        <v>7</v>
      </c>
      <c r="C8" s="18" t="n">
        <f aca="false">IF(B8=0,0,B8/SUM(B6:B9))</f>
        <v>0.194444444444444</v>
      </c>
      <c r="D8" s="19" t="s">
        <v>334</v>
      </c>
      <c r="E8" s="20" t="n">
        <v>3</v>
      </c>
    </row>
    <row r="9" customFormat="false" ht="18" hidden="false" customHeight="true" outlineLevel="0" collapsed="false">
      <c r="A9" s="5" t="s">
        <v>47</v>
      </c>
      <c r="B9" s="17" t="n">
        <f aca="false">COUNTIF('IOC Log'!O5:O40,"LOW")</f>
        <v>3</v>
      </c>
      <c r="C9" s="18" t="n">
        <f aca="false">IF(B9=0,0,B9/SUM(B6:B9))</f>
        <v>0.0833333333333333</v>
      </c>
      <c r="D9" s="21" t="s">
        <v>111</v>
      </c>
      <c r="E9" s="20" t="n">
        <v>2</v>
      </c>
    </row>
    <row r="10" customFormat="false" ht="15" hidden="false" customHeight="false" outlineLevel="0" collapsed="false">
      <c r="D10" s="19" t="s">
        <v>126</v>
      </c>
      <c r="E10" s="20" t="n">
        <v>1</v>
      </c>
    </row>
    <row r="11" customFormat="false" ht="15" hidden="false" customHeight="false" outlineLevel="0" collapsed="false">
      <c r="D11" s="21" t="s">
        <v>133</v>
      </c>
      <c r="E11" s="20" t="n">
        <v>2</v>
      </c>
    </row>
    <row r="12" customFormat="false" ht="15" hidden="false" customHeight="false" outlineLevel="0" collapsed="false">
      <c r="A12" s="16" t="s">
        <v>335</v>
      </c>
      <c r="D12" s="19" t="s">
        <v>147</v>
      </c>
      <c r="E12" s="20" t="n">
        <v>4</v>
      </c>
    </row>
    <row r="13" customFormat="false" ht="15" hidden="false" customHeight="false" outlineLevel="0" collapsed="false">
      <c r="A13" s="2" t="s">
        <v>336</v>
      </c>
      <c r="B13" s="2" t="s">
        <v>330</v>
      </c>
      <c r="D13" s="21" t="s">
        <v>176</v>
      </c>
      <c r="E13" s="20" t="n">
        <v>2</v>
      </c>
    </row>
    <row r="14" customFormat="false" ht="18" hidden="false" customHeight="true" outlineLevel="0" collapsed="false">
      <c r="A14" s="10" t="s">
        <v>271</v>
      </c>
      <c r="B14" s="17" t="n">
        <f aca="false">COUNTIF('IOC Log'!P5:P40,"OPEN")</f>
        <v>4</v>
      </c>
      <c r="D14" s="19" t="s">
        <v>193</v>
      </c>
      <c r="E14" s="20" t="n">
        <v>4</v>
      </c>
    </row>
    <row r="15" customFormat="false" ht="18" hidden="false" customHeight="true" outlineLevel="0" collapsed="false">
      <c r="A15" s="11" t="s">
        <v>203</v>
      </c>
      <c r="B15" s="17" t="n">
        <f aca="false">COUNTIF('IOC Log'!P5:P40,"ESCALATED")</f>
        <v>4</v>
      </c>
      <c r="D15" s="21" t="s">
        <v>228</v>
      </c>
      <c r="E15" s="20" t="n">
        <v>4</v>
      </c>
    </row>
    <row r="16" customFormat="false" ht="18" hidden="false" customHeight="true" outlineLevel="0" collapsed="false">
      <c r="A16" s="13" t="s">
        <v>305</v>
      </c>
      <c r="B16" s="17" t="n">
        <f aca="false">COUNTIF('IOC Log'!P5:P40,"MONITORING")</f>
        <v>3</v>
      </c>
      <c r="D16" s="19" t="s">
        <v>337</v>
      </c>
      <c r="E16" s="20" t="n">
        <v>2</v>
      </c>
    </row>
    <row r="17" customFormat="false" ht="18" hidden="false" customHeight="true" outlineLevel="0" collapsed="false">
      <c r="A17" s="9" t="s">
        <v>338</v>
      </c>
      <c r="B17" s="17" t="n">
        <f aca="false">COUNTIF('IOC Log'!P5:P40,"CONTAINED")</f>
        <v>0</v>
      </c>
      <c r="D17" s="21" t="s">
        <v>274</v>
      </c>
      <c r="E17" s="20" t="n">
        <v>3</v>
      </c>
    </row>
    <row r="18" customFormat="false" ht="18" hidden="false" customHeight="true" outlineLevel="0" collapsed="false">
      <c r="A18" s="5" t="s">
        <v>33</v>
      </c>
      <c r="B18" s="17" t="n">
        <f aca="false">COUNTIF('IOC Log'!P5:P40,"CLOSED")</f>
        <v>24</v>
      </c>
      <c r="D18" s="19" t="s">
        <v>297</v>
      </c>
      <c r="E18" s="20" t="n">
        <v>2</v>
      </c>
    </row>
    <row r="19" customFormat="false" ht="18" hidden="false" customHeight="true" outlineLevel="0" collapsed="false">
      <c r="A19" s="12" t="s">
        <v>261</v>
      </c>
      <c r="B19" s="17" t="n">
        <f aca="false">COUNTIF('IOC Log'!P5:P40,"FALSE POSITIVE")</f>
        <v>1</v>
      </c>
      <c r="D19" s="21" t="s">
        <v>313</v>
      </c>
      <c r="E19" s="20" t="n">
        <v>2</v>
      </c>
    </row>
    <row r="20" customFormat="false" ht="18" hidden="false" customHeight="true" outlineLevel="0" collapsed="false">
      <c r="A20" s="22" t="s">
        <v>339</v>
      </c>
      <c r="B20" s="17" t="n">
        <f aca="false">COUNTIF('IOC Log'!P5:P40,"PAUSED")</f>
        <v>0</v>
      </c>
    </row>
    <row r="23" customFormat="false" ht="15" hidden="false" customHeight="false" outlineLevel="0" collapsed="false">
      <c r="A23" s="16" t="s">
        <v>340</v>
      </c>
    </row>
    <row r="24" customFormat="false" ht="15" hidden="false" customHeight="false" outlineLevel="0" collapsed="false">
      <c r="A24" s="2" t="s">
        <v>341</v>
      </c>
      <c r="B24" s="2" t="s">
        <v>12</v>
      </c>
      <c r="C24" s="2" t="s">
        <v>342</v>
      </c>
    </row>
    <row r="25" customFormat="false" ht="18" hidden="false" customHeight="true" outlineLevel="0" collapsed="false">
      <c r="A25" s="19" t="s">
        <v>28</v>
      </c>
      <c r="B25" s="19" t="s">
        <v>29</v>
      </c>
      <c r="C25" s="19" t="s">
        <v>343</v>
      </c>
    </row>
    <row r="26" customFormat="false" ht="18" hidden="false" customHeight="true" outlineLevel="0" collapsed="false">
      <c r="A26" s="21" t="s">
        <v>56</v>
      </c>
      <c r="B26" s="21" t="s">
        <v>344</v>
      </c>
      <c r="C26" s="21" t="s">
        <v>345</v>
      </c>
    </row>
    <row r="27" customFormat="false" ht="18" hidden="false" customHeight="true" outlineLevel="0" collapsed="false">
      <c r="A27" s="19" t="s">
        <v>181</v>
      </c>
      <c r="B27" s="19" t="s">
        <v>346</v>
      </c>
      <c r="C27" s="19" t="s">
        <v>347</v>
      </c>
    </row>
    <row r="28" customFormat="false" ht="18" hidden="false" customHeight="true" outlineLevel="0" collapsed="false">
      <c r="A28" s="21" t="s">
        <v>171</v>
      </c>
      <c r="B28" s="21" t="s">
        <v>348</v>
      </c>
      <c r="C28" s="21" t="s">
        <v>349</v>
      </c>
    </row>
    <row r="29" customFormat="false" ht="18" hidden="false" customHeight="true" outlineLevel="0" collapsed="false">
      <c r="A29" s="19" t="s">
        <v>199</v>
      </c>
      <c r="B29" s="19" t="s">
        <v>200</v>
      </c>
      <c r="C29" s="19" t="s">
        <v>350</v>
      </c>
    </row>
    <row r="30" customFormat="false" ht="18" hidden="false" customHeight="true" outlineLevel="0" collapsed="false">
      <c r="A30" s="21" t="s">
        <v>247</v>
      </c>
      <c r="B30" s="21" t="s">
        <v>351</v>
      </c>
      <c r="C30" s="21" t="s">
        <v>352</v>
      </c>
    </row>
    <row r="31" customFormat="false" ht="18" hidden="false" customHeight="true" outlineLevel="0" collapsed="false">
      <c r="A31" s="19" t="s">
        <v>223</v>
      </c>
      <c r="B31" s="19" t="s">
        <v>353</v>
      </c>
      <c r="C31" s="19" t="s">
        <v>354</v>
      </c>
    </row>
    <row r="32" customFormat="false" ht="18" hidden="false" customHeight="true" outlineLevel="0" collapsed="false">
      <c r="A32" s="21" t="s">
        <v>95</v>
      </c>
      <c r="B32" s="21" t="s">
        <v>96</v>
      </c>
      <c r="C32" s="21" t="s">
        <v>355</v>
      </c>
    </row>
    <row r="33" customFormat="false" ht="18" hidden="false" customHeight="true" outlineLevel="0" collapsed="false">
      <c r="A33" s="19" t="s">
        <v>240</v>
      </c>
      <c r="B33" s="19" t="s">
        <v>243</v>
      </c>
      <c r="C33" s="19" t="s">
        <v>356</v>
      </c>
    </row>
    <row r="34" customFormat="false" ht="18" hidden="false" customHeight="true" outlineLevel="0" collapsed="false">
      <c r="A34" s="21" t="s">
        <v>43</v>
      </c>
      <c r="B34" s="21" t="s">
        <v>357</v>
      </c>
      <c r="C34" s="21" t="s">
        <v>358</v>
      </c>
    </row>
    <row r="35" customFormat="false" ht="18" hidden="false" customHeight="true" outlineLevel="0" collapsed="false">
      <c r="A35" s="19" t="s">
        <v>76</v>
      </c>
      <c r="B35" s="19" t="s">
        <v>77</v>
      </c>
      <c r="C35" s="19" t="s">
        <v>359</v>
      </c>
    </row>
  </sheetData>
  <mergeCells count="1">
    <mergeCell ref="A1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28"/>
  </cols>
  <sheetData>
    <row r="1" customFormat="false" ht="27.75" hidden="false" customHeight="true" outlineLevel="0" collapsed="false">
      <c r="A1" s="23" t="s">
        <v>360</v>
      </c>
      <c r="B1" s="23"/>
      <c r="C1" s="23"/>
      <c r="D1" s="23"/>
      <c r="E1" s="23"/>
      <c r="F1" s="23"/>
      <c r="G1" s="23"/>
    </row>
    <row r="2" customFormat="false" ht="15" hidden="false" customHeight="false" outlineLevel="0" collapsed="false">
      <c r="A2" s="23"/>
      <c r="B2" s="23"/>
      <c r="C2" s="23"/>
      <c r="D2" s="23"/>
      <c r="E2" s="23"/>
      <c r="F2" s="23"/>
      <c r="G2" s="23"/>
    </row>
    <row r="4" customFormat="false" ht="15" hidden="false" customHeight="false" outlineLevel="0" collapsed="false">
      <c r="A4" s="16" t="s">
        <v>361</v>
      </c>
    </row>
    <row r="5" customFormat="false" ht="15" hidden="false" customHeight="false" outlineLevel="0" collapsed="false">
      <c r="A5" s="10" t="s">
        <v>362</v>
      </c>
      <c r="B5" s="10" t="s">
        <v>363</v>
      </c>
      <c r="C5" s="10" t="s">
        <v>364</v>
      </c>
      <c r="D5" s="10" t="s">
        <v>365</v>
      </c>
      <c r="E5" s="10" t="s">
        <v>366</v>
      </c>
    </row>
    <row r="6" customFormat="false" ht="18" hidden="false" customHeight="true" outlineLevel="0" collapsed="false">
      <c r="A6" s="3" t="s">
        <v>195</v>
      </c>
      <c r="B6" s="3" t="s">
        <v>367</v>
      </c>
      <c r="C6" s="3" t="s">
        <v>108</v>
      </c>
      <c r="D6" s="3" t="s">
        <v>368</v>
      </c>
      <c r="E6" s="3" t="s">
        <v>262</v>
      </c>
    </row>
    <row r="7" customFormat="false" ht="18" hidden="false" customHeight="true" outlineLevel="0" collapsed="false">
      <c r="A7" s="7" t="s">
        <v>114</v>
      </c>
      <c r="B7" s="7" t="s">
        <v>369</v>
      </c>
      <c r="C7" s="7" t="s">
        <v>60</v>
      </c>
      <c r="D7" s="7" t="s">
        <v>370</v>
      </c>
      <c r="E7" s="7" t="s">
        <v>262</v>
      </c>
    </row>
    <row r="8" customFormat="false" ht="18" hidden="false" customHeight="true" outlineLevel="0" collapsed="false">
      <c r="A8" s="3" t="s">
        <v>371</v>
      </c>
      <c r="B8" s="3" t="s">
        <v>372</v>
      </c>
      <c r="C8" s="3" t="s">
        <v>60</v>
      </c>
      <c r="D8" s="3" t="s">
        <v>373</v>
      </c>
      <c r="E8" s="3" t="s">
        <v>74</v>
      </c>
    </row>
    <row r="9" customFormat="false" ht="18" hidden="false" customHeight="true" outlineLevel="0" collapsed="false">
      <c r="A9" s="7" t="s">
        <v>374</v>
      </c>
      <c r="B9" s="7" t="s">
        <v>375</v>
      </c>
      <c r="C9" s="7" t="s">
        <v>60</v>
      </c>
      <c r="D9" s="7" t="s">
        <v>376</v>
      </c>
      <c r="E9" s="7" t="s">
        <v>74</v>
      </c>
    </row>
    <row r="10" customFormat="false" ht="18" hidden="false" customHeight="true" outlineLevel="0" collapsed="false">
      <c r="A10" s="3" t="s">
        <v>377</v>
      </c>
      <c r="B10" s="3" t="s">
        <v>378</v>
      </c>
      <c r="C10" s="3" t="s">
        <v>108</v>
      </c>
      <c r="D10" s="3" t="s">
        <v>379</v>
      </c>
      <c r="E10" s="3" t="s">
        <v>74</v>
      </c>
    </row>
    <row r="14" customFormat="false" ht="15" hidden="false" customHeight="false" outlineLevel="0" collapsed="false">
      <c r="A14" s="16" t="s">
        <v>380</v>
      </c>
    </row>
    <row r="15" customFormat="false" ht="15" hidden="false" customHeight="false" outlineLevel="0" collapsed="false">
      <c r="A15" s="2" t="s">
        <v>381</v>
      </c>
      <c r="B15" s="2" t="s">
        <v>363</v>
      </c>
      <c r="C15" s="2" t="s">
        <v>364</v>
      </c>
      <c r="D15" s="2" t="s">
        <v>365</v>
      </c>
      <c r="E15" s="2" t="s">
        <v>382</v>
      </c>
      <c r="F15" s="2" t="s">
        <v>383</v>
      </c>
    </row>
    <row r="16" customFormat="false" ht="18" hidden="false" customHeight="true" outlineLevel="0" collapsed="false">
      <c r="A16" s="3" t="s">
        <v>195</v>
      </c>
      <c r="B16" s="3" t="str">
        <f aca="false">IFERROR(VLOOKUP(A16,$A$6:$E$10,2,FALSE()),"Not Found")</f>
        <v>TOR Node MCP Exfil C2</v>
      </c>
      <c r="C16" s="3" t="str">
        <f aca="false">IFERROR(VLOOKUP(A16,$A$6:$E$10,3,FALSE()),"Not Found")</f>
        <v>CRITICAL</v>
      </c>
      <c r="D16" s="3" t="str">
        <f aca="false">IFERROR(VLOOKUP(A16,$A$6:$E$10,4,FALSE()),"Not Found")</f>
        <v>soc-ai-era-lab 1877 records</v>
      </c>
      <c r="E16" s="24" t="str">
        <f aca="false">IF(ISERROR(VLOOKUP(A16,$A$6:$A$10,1,FALSE())),"CLEAN","MALICIOUS")</f>
        <v>MALICIOUS</v>
      </c>
      <c r="F16" s="3" t="s">
        <v>384</v>
      </c>
    </row>
    <row r="17" customFormat="false" ht="18" hidden="false" customHeight="true" outlineLevel="0" collapsed="false">
      <c r="A17" s="7" t="s">
        <v>114</v>
      </c>
      <c r="B17" s="7" t="str">
        <f aca="false">IFERROR(VLOOKUP(A17,$A$6:$E$10,2,FALSE()),"Not Found")</f>
        <v>Kali Attacker SSH Brute Force</v>
      </c>
      <c r="C17" s="7" t="str">
        <f aca="false">IFERROR(VLOOKUP(A17,$A$6:$E$10,3,FALSE()),"Not Found")</f>
        <v>HIGH</v>
      </c>
      <c r="D17" s="7" t="str">
        <f aca="false">IFERROR(VLOOKUP(A17,$A$6:$E$10,4,FALSE()),"Not Found")</f>
        <v>Wazuh and Suricata Lab</v>
      </c>
      <c r="E17" s="25" t="str">
        <f aca="false">IF(ISERROR(VLOOKUP(A17,$A$6:$A$10,1,FALSE())),"CLEAN","MALICIOUS")</f>
        <v>MALICIOUS</v>
      </c>
      <c r="F17" s="7" t="s">
        <v>385</v>
      </c>
    </row>
    <row r="18" customFormat="false" ht="18" hidden="false" customHeight="true" outlineLevel="0" collapsed="false">
      <c r="A18" s="3" t="s">
        <v>231</v>
      </c>
      <c r="B18" s="3" t="str">
        <f aca="false">IFERROR(VLOOKUP(A18,$A$6:$E$10,2,FALSE()),"Not Found")</f>
        <v>Not Found</v>
      </c>
      <c r="C18" s="3" t="str">
        <f aca="false">IFERROR(VLOOKUP(A18,$A$6:$E$10,3,FALSE()),"Not Found")</f>
        <v>Not Found</v>
      </c>
      <c r="D18" s="3" t="str">
        <f aca="false">IFERROR(VLOOKUP(A18,$A$6:$E$10,4,FALSE()),"Not Found")</f>
        <v>Not Found</v>
      </c>
      <c r="E18" s="24" t="str">
        <f aca="false">IF(ISERROR(VLOOKUP(A18,$A$6:$A$10,1,FALSE())),"CLEAN","MALICIOUS")</f>
        <v>CLEAN</v>
      </c>
      <c r="F18" s="3" t="s">
        <v>386</v>
      </c>
    </row>
    <row r="19" customFormat="false" ht="18" hidden="false" customHeight="true" outlineLevel="0" collapsed="false">
      <c r="A19" s="7" t="s">
        <v>377</v>
      </c>
      <c r="B19" s="7" t="str">
        <f aca="false">IFERROR(VLOOKUP(A19,$A$6:$E$10,2,FALSE()),"Not Found")</f>
        <v>TOR Exit Node</v>
      </c>
      <c r="C19" s="7" t="str">
        <f aca="false">IFERROR(VLOOKUP(A19,$A$6:$E$10,3,FALSE()),"Not Found")</f>
        <v>CRITICAL</v>
      </c>
      <c r="D19" s="7" t="str">
        <f aca="false">IFERROR(VLOOKUP(A19,$A$6:$E$10,4,FALSE()),"Not Found")</f>
        <v>AbuseIPDB and VirusTotal</v>
      </c>
      <c r="E19" s="25" t="str">
        <f aca="false">IF(ISERROR(VLOOKUP(A19,$A$6:$A$10,1,FALSE())),"CLEAN","MALICIOUS")</f>
        <v>MALICIOUS</v>
      </c>
      <c r="F19" s="7" t="s">
        <v>387</v>
      </c>
    </row>
    <row r="20" customFormat="false" ht="18" hidden="false" customHeight="true" outlineLevel="0" collapsed="false">
      <c r="A20" s="3" t="s">
        <v>388</v>
      </c>
      <c r="B20" s="3" t="str">
        <f aca="false">IFERROR(VLOOKUP(A20,$A$6:$E$10,2,FALSE()),"Not Found")</f>
        <v>Not Found</v>
      </c>
      <c r="C20" s="3" t="str">
        <f aca="false">IFERROR(VLOOKUP(A20,$A$6:$E$10,3,FALSE()),"Not Found")</f>
        <v>Not Found</v>
      </c>
      <c r="D20" s="3" t="str">
        <f aca="false">IFERROR(VLOOKUP(A20,$A$6:$E$10,4,FALSE()),"Not Found")</f>
        <v>Not Found</v>
      </c>
      <c r="E20" s="24" t="str">
        <f aca="false">IF(ISERROR(VLOOKUP(A20,$A$6:$A$10,1,FALSE())),"CLEAN","MALICIOUS")</f>
        <v>CLEAN</v>
      </c>
      <c r="F20" s="3" t="s">
        <v>86</v>
      </c>
    </row>
  </sheetData>
  <mergeCells count="1">
    <mergeCell ref="A1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2026-07-15T06:32:31Z</dcterms:created>
  <dc:creator>openpyxl</dc:creator>
  <dc:description/>
  <dc:language>en-US</dc:language>
  <cp:lastModifiedBy/>
  <dcterms:modified xsi:type="dcterms:W3CDTF">2026-07-15T06:32:31Z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